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1- newegg" sheetId="1" r:id="rId4"/>
    <sheet state="visible" name="Chrome Testing Oct 2025" sheetId="2" r:id="rId5"/>
    <sheet state="visible" name="Versions -Extensions" sheetId="3" r:id="rId6"/>
    <sheet state="visible" name="Versions - Browsers" sheetId="4" r:id="rId7"/>
    <sheet state="visible" name="FTC Compliance " sheetId="5" r:id="rId8"/>
    <sheet state="visible" name="Clean_Data" sheetId="6" r:id="rId9"/>
    <sheet state="visible" name="Graphs" sheetId="7" r:id="rId10"/>
    <sheet state="visible" name="list of plugins" sheetId="8" r:id="rId11"/>
  </sheets>
  <definedNames/>
  <calcPr/>
</workbook>
</file>

<file path=xl/sharedStrings.xml><?xml version="1.0" encoding="utf-8"?>
<sst xmlns="http://schemas.openxmlformats.org/spreadsheetml/2006/main" count="2405" uniqueCount="901">
  <si>
    <r>
      <rPr>
        <b/>
      </rPr>
      <t xml:space="preserve">Link Tested :  </t>
    </r>
    <r>
      <rPr>
        <b/>
        <color rgb="FF1155CC"/>
        <u/>
      </rPr>
      <t>https://www.newegg.com/amd-ryzen-7-5700x3d-ryzen-7-5000-series-vermeer-zen-3-socket-am4/p/N82E16819113812?srsltid=AfmBOopcTB8eTCCNaNUO-eKMt3dKeIBmk0dwsszH-Ec1CUxXlQcHhB31&amp;nm_mc=AFC-RAN-COM&amp;cm_mmc=afc-ran-com-_-Linus+Tech+Tip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DLNWREljPq8nYAnuqLUdKg</t>
    </r>
    <r>
      <rPr>
        <b/>
      </rPr>
      <t xml:space="preserve"> 
</t>
    </r>
  </si>
  <si>
    <t xml:space="preserve">Google - Privacy Features on  </t>
  </si>
  <si>
    <t>Brave with Agressive Privacy Settings</t>
  </si>
  <si>
    <t>Brave without Advanced Privacy Setting : Blocks Third Party Cookies Bydefault</t>
  </si>
  <si>
    <t xml:space="preserve">FireFox - Default </t>
  </si>
  <si>
    <t xml:space="preserve">Firefox with Advanced Privacy Setting </t>
  </si>
  <si>
    <t xml:space="preserve">Safari - With the Privacy feature turned on </t>
  </si>
  <si>
    <t xml:space="preserve">Safari - Default </t>
  </si>
  <si>
    <t xml:space="preserve">Edge - Default Settings </t>
  </si>
  <si>
    <t xml:space="preserve">Edge - Advance Privacy Setting </t>
  </si>
  <si>
    <t xml:space="preserve">Requires Login to access coupon codes </t>
  </si>
  <si>
    <t xml:space="preserve">Do they have a coupon, even it it did not work </t>
  </si>
  <si>
    <t xml:space="preserve">Pop Up - without clicking manually on the extension ( Testing of Standown feature) </t>
  </si>
  <si>
    <t xml:space="preserve">Automated Script for Code Application </t>
  </si>
  <si>
    <t>Extension Version</t>
  </si>
  <si>
    <t>Plugin names</t>
  </si>
  <si>
    <t xml:space="preserve">Cookie Field </t>
  </si>
  <si>
    <t>1.Honey</t>
  </si>
  <si>
    <t>NV_MC_LC</t>
  </si>
  <si>
    <t>Before :</t>
  </si>
  <si>
    <t>afc-ran-com-_-Linus%20Tech%20Tips</t>
  </si>
  <si>
    <t xml:space="preserve"> NV_MC_FC </t>
  </si>
  <si>
    <t>__attentive_utm_param_campaign</t>
  </si>
  <si>
    <t>afc-ran-com-_-Linus+Tech+Tips</t>
  </si>
  <si>
    <t>__attentive_utm_param_source</t>
  </si>
  <si>
    <t xml:space="preserve">afc-Linus+Tech+Tips </t>
  </si>
  <si>
    <t>NV_ECM_TK_LC</t>
  </si>
  <si>
    <t xml:space="preserve">%7B%22icid%22%3A%7B%7D%2C%22cm_sp%22%3A%7B%7D%2C%22cm_mmc%22%3A%7B%22value%22%3A%22afc-ran-com-_-Linus%2520Tech%2520Tips%22%2C%22expiretime%22%3A1749316131818%7D%7D </t>
  </si>
  <si>
    <t>1.Changed Last Click / Injected as referrer</t>
  </si>
  <si>
    <t>1.Did not steal the last click /Did not interfere</t>
  </si>
  <si>
    <t xml:space="preserve">1.Did not steal the last click </t>
  </si>
  <si>
    <t xml:space="preserve">1.Changed the last click </t>
  </si>
  <si>
    <t xml:space="preserve">1.Changed the Last click </t>
  </si>
  <si>
    <t xml:space="preserve">1.Changed the Last Click </t>
  </si>
  <si>
    <t>No</t>
  </si>
  <si>
    <t xml:space="preserve">Yes, they had multiple. </t>
  </si>
  <si>
    <t>1.Yes</t>
  </si>
  <si>
    <t>17.1.2</t>
  </si>
  <si>
    <t>After :</t>
  </si>
  <si>
    <t>1.afc-ran-com-_-PayPal%20Inc.</t>
  </si>
  <si>
    <t>1.afc-ran-com-_-PayPal+Inc.</t>
  </si>
  <si>
    <t>After:</t>
  </si>
  <si>
    <t>afc-PayPal+Inc.</t>
  </si>
  <si>
    <t>%7B%22icid%22%3A%7B%7D%2C%22cm_sp%22%3A%7B%7D%2C%22cm_mmc%22%3A%7B%22value%22%3A%22afc-ran-com-_-PayPal%2520Inc.%22%2C%22expiretime%22%3A1749316007980%7D%7D</t>
  </si>
  <si>
    <t>2.coupert</t>
  </si>
  <si>
    <t xml:space="preserve">2.Changed Last Click </t>
  </si>
  <si>
    <t xml:space="preserve">1. NF Cashback activation failed </t>
  </si>
  <si>
    <t xml:space="preserve">2.Changed the last Click </t>
  </si>
  <si>
    <t xml:space="preserve">2.Changed the last click </t>
  </si>
  <si>
    <t xml:space="preserve">1.Did not steal Last click </t>
  </si>
  <si>
    <t xml:space="preserve">2.Changed the Last Click </t>
  </si>
  <si>
    <t>Yes, offered cashback</t>
  </si>
  <si>
    <t>2.Yes</t>
  </si>
  <si>
    <t>https://www.coupert.com/terms?anchor=section8</t>
  </si>
  <si>
    <t>6.14.9</t>
  </si>
  <si>
    <t>2.afc-ran-com-_-55Haitaoshop</t>
  </si>
  <si>
    <t>afc-55Haitaoshop</t>
  </si>
  <si>
    <t>%7B%22icid%22%3A%7B%7D%2C%22cm_sp%22%3A%7B%7D%2C%22cm_mmc%22%3A%7B%22value%22%3A%22afc-ran-com-_-55Haitaoshop%22%2C%22expiretime%22%3A1749323152578%7D%7D</t>
  </si>
  <si>
    <t>3.couponbirds</t>
  </si>
  <si>
    <t xml:space="preserve">2.Did not steal the last click </t>
  </si>
  <si>
    <t>3.Changed the last Click</t>
  </si>
  <si>
    <t xml:space="preserve">2.Did not steal Last click </t>
  </si>
  <si>
    <t xml:space="preserve">1.Did not steal last click </t>
  </si>
  <si>
    <t xml:space="preserve">3.Changed the Last Click </t>
  </si>
  <si>
    <t>Yes</t>
  </si>
  <si>
    <t xml:space="preserve">1 . No </t>
  </si>
  <si>
    <t>3.Yes</t>
  </si>
  <si>
    <t>4.3.8</t>
  </si>
  <si>
    <t>3.afc-ran-com-_-CouponBirds</t>
  </si>
  <si>
    <t>afc-CouponBirds</t>
  </si>
  <si>
    <t>%7B%22icid%22%3A%7B%7D%2C%22cm_sp%22%3A%7B%7D%2C%22cm_mmc%22%3A%7B%22value%22%3A%22afc-ran-com-_-CouponBirds%22%2C%22expiretime%22%3A1749324802127%7D%7D</t>
  </si>
  <si>
    <t>4.Rakuten</t>
  </si>
  <si>
    <t>%7B%22icid%22%3A%7B%7D%2C%22cm_sp%22%3A%7B%7D%2C%22cm_mmc%22%3A%7B%22value%22%3A%22afc-ran-com-_-Linus%2520Tech%2520Tips%22%2C%22expiretime%22%3A1749316465521%7D%7D</t>
  </si>
  <si>
    <t xml:space="preserve">3.Changed Last Click </t>
  </si>
  <si>
    <t xml:space="preserve">4.Changed the last Click </t>
  </si>
  <si>
    <t xml:space="preserve">3.Did not steal last click </t>
  </si>
  <si>
    <t xml:space="preserve">3.Changed the last click </t>
  </si>
  <si>
    <t xml:space="preserve">Cashback </t>
  </si>
  <si>
    <t xml:space="preserve">3.Yes </t>
  </si>
  <si>
    <r>
      <rPr>
        <color rgb="FF1155CC"/>
        <u/>
      </rPr>
      <t>1 . No</t>
    </r>
    <r>
      <rPr/>
      <t xml:space="preserve"> - Cashback</t>
    </r>
  </si>
  <si>
    <t xml:space="preserve">1.Manually activate the cashback </t>
  </si>
  <si>
    <t xml:space="preserve">Note : Was hijack before applying coupns.
Clicked on "Activate Cashback" Pop up and the cookies changed </t>
  </si>
  <si>
    <t>4.afc-ran-com-_-Rakuten%20Rewards</t>
  </si>
  <si>
    <t>4.afc-ran-com-_-Rakuten+Rewards</t>
  </si>
  <si>
    <t>afc-Rakuten+Rewards</t>
  </si>
  <si>
    <t>%7B%22icid%22%3A%7B%7D%2C%22cm_sp%22%3A%7B%7D%2C%22cm_mmc%22%3A%7B%22value%22%3A%22afc-ran-com-_-Rakuten%2520Rewards%22%2C%22expiretime%22%3A1749316622235%7D%7D</t>
  </si>
  <si>
    <t>5.Moolah - Automatic Coupon Hunter</t>
  </si>
  <si>
    <t xml:space="preserve">4.Changed Last Click </t>
  </si>
  <si>
    <t xml:space="preserve">3.Did not steal the last click </t>
  </si>
  <si>
    <t xml:space="preserve">5.Changed the last Click </t>
  </si>
  <si>
    <t xml:space="preserve">4.Did not steal last click </t>
  </si>
  <si>
    <t xml:space="preserve">2.Did not steal last click </t>
  </si>
  <si>
    <t xml:space="preserve">5.Changed the Last Click </t>
  </si>
  <si>
    <t>Yes.</t>
  </si>
  <si>
    <t xml:space="preserve">2. Nope, Manually click Copy </t>
  </si>
  <si>
    <t>1. No</t>
  </si>
  <si>
    <t xml:space="preserve">2.Apply codes manually </t>
  </si>
  <si>
    <t>2.5.1</t>
  </si>
  <si>
    <t>5.afc-ran-com-_-DealAm</t>
  </si>
  <si>
    <t>afc-DealAm</t>
  </si>
  <si>
    <t>%7B%22icid%22%3A%7B%7D%2C%22cm_sp%22%3A%7B%7D%2C%22cm_mmc%22%3A%7B%22value%22%3A%22afc-ran-com-_-DealAm%22%2C%22expiretime%22%3A1749423324201%7D%7D</t>
  </si>
  <si>
    <t xml:space="preserve">6.Cently by Coupon Follow </t>
  </si>
  <si>
    <t xml:space="preserve">5.Changed Last Click </t>
  </si>
  <si>
    <t xml:space="preserve">2. NF Cashback activation failed </t>
  </si>
  <si>
    <t xml:space="preserve">4.Did not steal the last click </t>
  </si>
  <si>
    <t xml:space="preserve">1. NA Not available in FireFox </t>
  </si>
  <si>
    <t>1. NA Not available on App store</t>
  </si>
  <si>
    <t xml:space="preserve">6.Changed the Last Click </t>
  </si>
  <si>
    <t xml:space="preserve">No </t>
  </si>
  <si>
    <t xml:space="preserve">Yes and Cashback </t>
  </si>
  <si>
    <t>4. Yes, Automatic notification but Sign in Required.</t>
  </si>
  <si>
    <t>4. Yes</t>
  </si>
  <si>
    <t>6.afc-ran-com-_-CouponFollow</t>
  </si>
  <si>
    <t>afc-CouponFollow</t>
  </si>
  <si>
    <t>%7B%22icid%22%3A%7B%7D%2C%22cm_sp%22%3A%7B%7D%2C%22cm_mmc%22%3A%7B%22value%22%3A%22afc-ran-com-_-CouponFollow%22%2C%22expiretime%22%3A1749318214125%7D%7D</t>
  </si>
  <si>
    <t>7.FatCoupon Cashback &amp; Promo Codes</t>
  </si>
  <si>
    <t xml:space="preserve">6.Changed Last Click </t>
  </si>
  <si>
    <t xml:space="preserve">3.Changed the last Click </t>
  </si>
  <si>
    <t xml:space="preserve">2. NA Not available in FireFox </t>
  </si>
  <si>
    <t>2. NA Not available on App store</t>
  </si>
  <si>
    <t>7.Changed the last Click</t>
  </si>
  <si>
    <t>1.YES</t>
  </si>
  <si>
    <t xml:space="preserve">Yes </t>
  </si>
  <si>
    <t>3. No manually click at the apply coupon at check out.</t>
  </si>
  <si>
    <t>5. Yes</t>
  </si>
  <si>
    <t>1.0.25</t>
  </si>
  <si>
    <t>7.afc-ran-com-_-FATCOUPON</t>
  </si>
  <si>
    <t>afc-FATCOUPON</t>
  </si>
  <si>
    <t>%7B%22icid%22%3A%7B%7D%2C%22cm_sp%22%3A%7B%7D%2C%22cm_mmc%22%3A%7B%22value%22%3A%22afc-ran-com-_-FATCOUPON%22%2C%22expiretime%22%3A1749424733826%7D%7D</t>
  </si>
  <si>
    <t xml:space="preserve">8.Norton Coupons </t>
  </si>
  <si>
    <t xml:space="preserve">7.Changed Last Click </t>
  </si>
  <si>
    <t xml:space="preserve">3. NF Cashback activation failed </t>
  </si>
  <si>
    <t xml:space="preserve">5..Did not steal the last click </t>
  </si>
  <si>
    <t xml:space="preserve">3. NA Not available in FireFox </t>
  </si>
  <si>
    <t>3. NA Not available on App store</t>
  </si>
  <si>
    <r>
      <rPr>
        <color rgb="FF1155CC"/>
        <u/>
      </rPr>
      <t>3.NA</t>
    </r>
    <r>
      <rPr/>
      <t xml:space="preserve"> Not available on App store</t>
    </r>
  </si>
  <si>
    <t>8.Changed the last Click</t>
  </si>
  <si>
    <t xml:space="preserve">5. Yes,pop up at check out </t>
  </si>
  <si>
    <t>6. Yes</t>
  </si>
  <si>
    <t>7.29.1.732</t>
  </si>
  <si>
    <t>8.afc-ran-com-_-CouponFollow</t>
  </si>
  <si>
    <t>%7B%22icid%22%3A%7B%7D%2C%22cm_sp%22%3A%7B%7D%2C%22cm_mmc%22%3A%7B%22value%22%3A%22afc-ran-com-_-CouponFollow%22%2C%22expiretime%22%3A1749320046013%7D%7D</t>
  </si>
  <si>
    <t>9.mino</t>
  </si>
  <si>
    <t>%7B%22icid%22%3A%7B%7D%2C%22cm_sp%22%3A%7B%7D%2C%22cm_mmc%22%3A%7B%22value%22%3A%22afc-ran-com-_-Linus%2520Tech%2520Tips%22%2C%22expiretime%22%3A1749319115684%7D%7D</t>
  </si>
  <si>
    <t xml:space="preserve">4. Did not steal </t>
  </si>
  <si>
    <t xml:space="preserve">6..Did not steal the last click </t>
  </si>
  <si>
    <t xml:space="preserve">6.Changed the last Click </t>
  </si>
  <si>
    <t>4. NNA Not available on App store</t>
  </si>
  <si>
    <t>4. NA Not available on App store</t>
  </si>
  <si>
    <t>9.Changed the last Click</t>
  </si>
  <si>
    <t>No , needs to click "Check out and visit the coupon site to stuff cookies"</t>
  </si>
  <si>
    <t>4. No,Manually click the extension button.</t>
  </si>
  <si>
    <t>7. Yes</t>
  </si>
  <si>
    <t>4.31.0</t>
  </si>
  <si>
    <t>9.afc-ran-com-_-digidip</t>
  </si>
  <si>
    <t>afc-digidip</t>
  </si>
  <si>
    <t>%7B%22icid%22%3A%7B%7D%2C%22cm_sp%22%3A%7B%7D%2C%22cm_mmc%22%3A%7B%22value%22%3A%22afc-ran-com-_-digidip%22%2C%22expiretime%22%3A1749321266612%7D%7D</t>
  </si>
  <si>
    <t>10.Avast SafePrice</t>
  </si>
  <si>
    <t xml:space="preserve">8.Changed Last Click </t>
  </si>
  <si>
    <t xml:space="preserve">4. NF Cashback activation failed </t>
  </si>
  <si>
    <t xml:space="preserve">7..Did not steal the last click </t>
  </si>
  <si>
    <t xml:space="preserve">4. NA Not available in FireFox </t>
  </si>
  <si>
    <t>5. NA Not available on App store</t>
  </si>
  <si>
    <t xml:space="preserve">10.Changed the Last Click </t>
  </si>
  <si>
    <t>10.Changed the last Click</t>
  </si>
  <si>
    <t xml:space="preserve">6. Yes,Automatic Pop up </t>
  </si>
  <si>
    <t xml:space="preserve">8.Yes </t>
  </si>
  <si>
    <t>24.13.1.732</t>
  </si>
  <si>
    <t>10.afc-ran-com-_-CouponFollow</t>
  </si>
  <si>
    <t>%7B%22icid%22%3A%7B%7D%2C%22cm_sp%22%3A%7B%7D%2C%22cm_mmc%22%3A%7B%22value%22%3A%22afc-ran-com-_-CouponFollow%22%2C%22expiretime%22%3A1749679509876%7D%7D</t>
  </si>
  <si>
    <t>11.BeFrugal</t>
  </si>
  <si>
    <t xml:space="preserve">9.Changed Last Click </t>
  </si>
  <si>
    <t xml:space="preserve">4.Changed the last click </t>
  </si>
  <si>
    <t xml:space="preserve">7.Changed the last Click </t>
  </si>
  <si>
    <t>5.Did not steal</t>
  </si>
  <si>
    <t xml:space="preserve">4.Changed the Last Click </t>
  </si>
  <si>
    <t>11.Changed the last Click</t>
  </si>
  <si>
    <t>Cashback</t>
  </si>
  <si>
    <t xml:space="preserve">7. Yes,Automatic Pop up </t>
  </si>
  <si>
    <t>2. No - Cashback</t>
  </si>
  <si>
    <t xml:space="preserve">3.Manualy activate the cashback </t>
  </si>
  <si>
    <t>2025.6.225.0</t>
  </si>
  <si>
    <t>11.afc-ran-com-_-Be%20Frugal</t>
  </si>
  <si>
    <t>11.afc-ran-com-_-Be+Frugal</t>
  </si>
  <si>
    <t>afc-Be+Frugal</t>
  </si>
  <si>
    <t>%7B%22icid%22%3A%7B%7D%2C%22cm_sp%22%3A%7B%7D%2C%22cm_mmc%22%3A%7B%22value%22%3A%22afc-ran-com-_-Be%2520Frugal%22%2C%22expiretime%22%3A1749679973557%7D%7D</t>
  </si>
  <si>
    <t xml:space="preserve">12.PriceBlink </t>
  </si>
  <si>
    <t xml:space="preserve">10.Changed Last Click </t>
  </si>
  <si>
    <t xml:space="preserve">5. Did not steal </t>
  </si>
  <si>
    <t xml:space="preserve">8.Did not steal the last click </t>
  </si>
  <si>
    <t xml:space="preserve">8.Changed the last Click </t>
  </si>
  <si>
    <t>6. NA Not available on App store</t>
  </si>
  <si>
    <t>12.Changed the last Click</t>
  </si>
  <si>
    <r>
      <rPr>
        <rFont val="Arial"/>
        <b/>
        <color theme="1"/>
      </rPr>
      <t>5. No, Manual,</t>
    </r>
    <r>
      <rPr>
        <rFont val="Arial"/>
        <color theme="1"/>
      </rPr>
      <t xml:space="preserve"> redirect copy the cide </t>
    </r>
  </si>
  <si>
    <t>2 .No</t>
  </si>
  <si>
    <t xml:space="preserve">4.Manually apply the coupon </t>
  </si>
  <si>
    <t>12.afc-ran-com-_-PriceBlink</t>
  </si>
  <si>
    <t>afc-PriceBlink</t>
  </si>
  <si>
    <t>%7B%22icid%22%3A%7B%7D%2C%22cm_sp%22%3A%7B%7D%2C%22cm_mmc%22%3A%7B%22value%22%3A%22afc-ran-com-_-PriceBlink%22%2C%22expiretime%22%3A1749680557094%7D%7D</t>
  </si>
  <si>
    <t>13.RetailMeNot</t>
  </si>
  <si>
    <t xml:space="preserve">11.Changed Last Click </t>
  </si>
  <si>
    <t xml:space="preserve">5. NF Cashback activation failed </t>
  </si>
  <si>
    <t xml:space="preserve">5.Changed the last click </t>
  </si>
  <si>
    <t xml:space="preserve">9.Changed the last Click </t>
  </si>
  <si>
    <t xml:space="preserve">5.Changed Last click </t>
  </si>
  <si>
    <t xml:space="preserve">13.Changed the Last Click </t>
  </si>
  <si>
    <t>No, Had to copy the code and apply to the apply promo code field.</t>
  </si>
  <si>
    <t xml:space="preserve">6. No, Manual, copy and paste from extension </t>
  </si>
  <si>
    <t>3. No</t>
  </si>
  <si>
    <t xml:space="preserve">5..Manually apply the coupon </t>
  </si>
  <si>
    <t>4.14.0</t>
  </si>
  <si>
    <t>13.afc-ran-com-_-RetailMeNot</t>
  </si>
  <si>
    <t>afc-RetailMeNot</t>
  </si>
  <si>
    <t>%7B%22icid%22%3A%7B%7D%2C%22cm_sp%22%3A%7B%7D%2C%22cm_mmc%22%3A%7B%22value%22%3A%22afc-ran-com-_-RetailMeNot%22%2C%22expiretime%22%3A1749684521439%7D%7D</t>
  </si>
  <si>
    <t>14.CouponCabin Sidekick - Coupons &amp; Cash Back</t>
  </si>
  <si>
    <t xml:space="preserve">12.Changed Last Click </t>
  </si>
  <si>
    <t xml:space="preserve">6.Changed the last click </t>
  </si>
  <si>
    <t xml:space="preserve">10.Changed the last Click </t>
  </si>
  <si>
    <t>6.Changed Last Click</t>
  </si>
  <si>
    <t xml:space="preserve">14.Changed the Last Click </t>
  </si>
  <si>
    <t>No, had to select the apply cashback option.</t>
  </si>
  <si>
    <t xml:space="preserve">cashback </t>
  </si>
  <si>
    <t xml:space="preserve">7. No, Manual click , login </t>
  </si>
  <si>
    <t xml:space="preserve">no </t>
  </si>
  <si>
    <t>6.Manually apply the coupon</t>
  </si>
  <si>
    <t>3.5.0.9</t>
  </si>
  <si>
    <t>14.afc-ran-com-_-CouponCabin.com</t>
  </si>
  <si>
    <t>14 .afc-ran-com-_-CouponCabin.com</t>
  </si>
  <si>
    <t>afc-CouponCabin.com</t>
  </si>
  <si>
    <t>%7B%22icid%22%3A%7B%7D%2C%22cm_sp%22%3A%7B%7D%2C%22cm_mmc%22%3A%7B%22value%22%3A%22afc-ran-com-_-CouponCabin.com%22%2C%22expiretime%22%3A1749422702193%7D%7D</t>
  </si>
  <si>
    <t>15.TopCashback</t>
  </si>
  <si>
    <t xml:space="preserve">13.Changed Last Click </t>
  </si>
  <si>
    <t xml:space="preserve">7.Changed the last click </t>
  </si>
  <si>
    <t xml:space="preserve">11.Changed the last Click </t>
  </si>
  <si>
    <t>6.Did not steal</t>
  </si>
  <si>
    <t xml:space="preserve">15.Changed the Last Click </t>
  </si>
  <si>
    <t xml:space="preserve">8. No, Manual, login, Cashback </t>
  </si>
  <si>
    <t>3. No - Cashback</t>
  </si>
  <si>
    <t>7..Manually apply the cashback</t>
  </si>
  <si>
    <t>6.11.2.0</t>
  </si>
  <si>
    <t>15.afc-ran-com-_-TopCashBack</t>
  </si>
  <si>
    <t>15. afc-ran-com-_-TopCashBack</t>
  </si>
  <si>
    <t>afc-TopCashBack</t>
  </si>
  <si>
    <t>%7B%22icid%22%3A%7B%7D%2C%22cm_sp%22%3A%7B%7D%2C%22cm_mmc%22%3A%7B%22value%22%3A%22afc-ran-com-_-TopCashBack%22%2C%22expiretime%22%3A1749690345937%7D%7D</t>
  </si>
  <si>
    <t>16.CNET Shopping</t>
  </si>
  <si>
    <t xml:space="preserve">14.Changed Last Click </t>
  </si>
  <si>
    <t>6. NF</t>
  </si>
  <si>
    <t xml:space="preserve">1. NF Did not have any coupons </t>
  </si>
  <si>
    <t xml:space="preserve">1. NF Does not support newegg : Try again </t>
  </si>
  <si>
    <t xml:space="preserve">16. Changed the Last click : </t>
  </si>
  <si>
    <t>1. NF</t>
  </si>
  <si>
    <t>No Requires user to enable the coupons for that perticular merchant, might change merchant to merchant.</t>
  </si>
  <si>
    <t xml:space="preserve">No code but cashback </t>
  </si>
  <si>
    <t xml:space="preserve">8.Yes, Automatic popup </t>
  </si>
  <si>
    <t>9. Yes</t>
  </si>
  <si>
    <t>16.afc-ran-com-_-Wildfire%20Systems</t>
  </si>
  <si>
    <t>16.afc-ran-com-_-Wildfire+Systems</t>
  </si>
  <si>
    <t>afc-Wildfire+Systems</t>
  </si>
  <si>
    <t>%7B%22icid%22%3A%7B%7D%2C%22cm_sp%22%3A%7B%22value%22%3A%22redirect-_-todays-deals%22%2C%22expiretime%22%3A1749691017827%7D%2C%22cm_mmc%22%3A%7B%22value%22%3A%22afc-ran-com-_-Wildfire%2520Systems%22%2C%22expiretime%22%3A1749691399389%7D%7D</t>
  </si>
  <si>
    <t>17.Avira Safe Shopping</t>
  </si>
  <si>
    <t xml:space="preserve">15.Changed Last Click </t>
  </si>
  <si>
    <t xml:space="preserve">7. NF Cashback activation failed </t>
  </si>
  <si>
    <t xml:space="preserve">9.Did not steal the last click </t>
  </si>
  <si>
    <t xml:space="preserve">5. NA Not available in FireFox </t>
  </si>
  <si>
    <t xml:space="preserve">7. NA Not available on App store ( Safari) </t>
  </si>
  <si>
    <t xml:space="preserve">7 NA.Not available on App store ( Safari) </t>
  </si>
  <si>
    <t xml:space="preserve">17. Changed the last click </t>
  </si>
  <si>
    <t xml:space="preserve">16.Changed the Last Click </t>
  </si>
  <si>
    <t xml:space="preserve">No, Checkout page-&gt; Apply codes </t>
  </si>
  <si>
    <t xml:space="preserve">9.Yes, Automatic popup </t>
  </si>
  <si>
    <t>10. Yes</t>
  </si>
  <si>
    <t>17.afc-ran-com-_-CouponFollow</t>
  </si>
  <si>
    <t>17. afc-ran-com-_-CouponFollow</t>
  </si>
  <si>
    <t>%7B%22icid%22%3A%7B%7D%2C%22cm_sp%22%3A%7B%7D%2C%22cm_mmc%22%3A%7B%22value%22%3A%22afc-ran-com-_-CouponFollow%22%2C%22expiretime%22%3A1749691774797%7D%7D</t>
  </si>
  <si>
    <t>18.SimplyCodes</t>
  </si>
  <si>
    <t xml:space="preserve">16.Changed Last Click </t>
  </si>
  <si>
    <t xml:space="preserve">6. Did not steal </t>
  </si>
  <si>
    <t xml:space="preserve">10.Did not steal the last click </t>
  </si>
  <si>
    <t xml:space="preserve">12.Changed the last Click </t>
  </si>
  <si>
    <t xml:space="preserve">8.Changed the Last Click </t>
  </si>
  <si>
    <t xml:space="preserve">18.Changed the last click </t>
  </si>
  <si>
    <t>1.Did not steal the last click</t>
  </si>
  <si>
    <t>No, copy the code apply to the check out page manually.</t>
  </si>
  <si>
    <t xml:space="preserve">9. No, Manual, copy and paste from extension </t>
  </si>
  <si>
    <t>4 . No</t>
  </si>
  <si>
    <t xml:space="preserve">8..Manually apply the coupon </t>
  </si>
  <si>
    <t>2.5.0</t>
  </si>
  <si>
    <t>18.afc-ran-com-_-SimplyCodes</t>
  </si>
  <si>
    <t>afc-SimplyCodes</t>
  </si>
  <si>
    <t>%7B%22icid%22%3A%7B%7D%2C%22cm_sp%22%3A%7B%7D%2C%22cm_mmc%22%3A%7B%22value%22%3A%22afc-ran-com-_-SimplyCodes%22%2C%22expiretime%22%3A1749693488505%7D%7D</t>
  </si>
  <si>
    <t>19.Kindred Shop 'n Save</t>
  </si>
  <si>
    <t xml:space="preserve">1. NF Plugin could not work properly </t>
  </si>
  <si>
    <t xml:space="preserve">8. NF Plugin could not work properly </t>
  </si>
  <si>
    <t xml:space="preserve">8.Changed the last click </t>
  </si>
  <si>
    <t xml:space="preserve">6. NA Not available in FireFox </t>
  </si>
  <si>
    <t xml:space="preserve">7.Did not Steal </t>
  </si>
  <si>
    <t xml:space="preserve">9.Changed the Last Click </t>
  </si>
  <si>
    <t>19.Changed the Last Click</t>
  </si>
  <si>
    <t>No, check out page -&gt; Click apply coupons</t>
  </si>
  <si>
    <t xml:space="preserve">10. No, Manual click required </t>
  </si>
  <si>
    <t>5. No</t>
  </si>
  <si>
    <t xml:space="preserve">9.Manually apply the coupon </t>
  </si>
  <si>
    <t>6.0.7</t>
  </si>
  <si>
    <t>19.afc-ran-com-_-digidip</t>
  </si>
  <si>
    <t>%7B%22icid%22%3A%7B%7D%2C%22cm_sp%22%3A%7B%7D%2C%22cm_mmc%22%3A%7B%22value%22%3A%22afc-ran-com-_-digidip%22%2C%22expiretime%22%3A1749949357765%7D%7D</t>
  </si>
  <si>
    <t>20.Student Beans: Exclusive Student Discounts</t>
  </si>
  <si>
    <t xml:space="preserve">17.Changed Last Click </t>
  </si>
  <si>
    <t xml:space="preserve">9. NF Plugin could not work properly </t>
  </si>
  <si>
    <t xml:space="preserve">11.Did not steal the last click </t>
  </si>
  <si>
    <t xml:space="preserve">7. NA Not available in FireFox </t>
  </si>
  <si>
    <t xml:space="preserve">8. NA Not available on App Store </t>
  </si>
  <si>
    <t xml:space="preserve">1.Did not Steal Last Click </t>
  </si>
  <si>
    <t xml:space="preserve">3. Did not Steal the Last Click </t>
  </si>
  <si>
    <t xml:space="preserve">2. Yes, log in to student account </t>
  </si>
  <si>
    <t xml:space="preserve">no codes but 8% student discount </t>
  </si>
  <si>
    <t>11. No, Manual</t>
  </si>
  <si>
    <t>4. No - Cashback</t>
  </si>
  <si>
    <t>10.Manually activate the discount/cashback</t>
  </si>
  <si>
    <t>3.3.1</t>
  </si>
  <si>
    <t>20.afc-ran-com-_-FATCOUPON</t>
  </si>
  <si>
    <t>20. afc-ran-com-_-Student+Beans</t>
  </si>
  <si>
    <t>afc-Student+Beans</t>
  </si>
  <si>
    <t>%7B%22icid%22%3A%7B%7D%2C%22cm_sp%22%3A%7B%7D%2C%22cm_mmc%22%3A%7B%22value%22%3A%22afc-ran-com-_-FATCOUPON%22%2C%22expiretime%22%3A1749950793351%7D%7D</t>
  </si>
  <si>
    <t>21.Capital One</t>
  </si>
  <si>
    <t xml:space="preserve">10. NF Plugin could not work properly </t>
  </si>
  <si>
    <t xml:space="preserve">12.Did not steal the last click </t>
  </si>
  <si>
    <t xml:space="preserve">8.Did not Steal </t>
  </si>
  <si>
    <t xml:space="preserve">3.Did not Steal the last Click </t>
  </si>
  <si>
    <t xml:space="preserve">2.Did not Steal Last Click </t>
  </si>
  <si>
    <t>4.Did not steal the Last Click</t>
  </si>
  <si>
    <t>No, apply all codes</t>
  </si>
  <si>
    <t>10.Yes,Automatic popup</t>
  </si>
  <si>
    <t>11. Yes</t>
  </si>
  <si>
    <t>0.1.1289</t>
  </si>
  <si>
    <t>21.afc-ran-com-_-Capital%20One</t>
  </si>
  <si>
    <t>afc-Linus+Tech+Tips</t>
  </si>
  <si>
    <t>%7B%22icid%22%3A%7B%7D%2C%22cm_sp%22%3A%7B%7D%2C%22cm_mmc%22%3A%7B%22value%22%3A%22afc-ran-com-_-Capital%2520One%22%2C%22expiretime%22%3A1749322534263%7D%7D</t>
  </si>
  <si>
    <t>22.dontpayfull</t>
  </si>
  <si>
    <t xml:space="preserve">18.Changed Last Click </t>
  </si>
  <si>
    <t xml:space="preserve">11. NF Plugin could not work properly </t>
  </si>
  <si>
    <t xml:space="preserve">13.Did not steal the last click </t>
  </si>
  <si>
    <t xml:space="preserve">8. NA Not available in FireFox </t>
  </si>
  <si>
    <t xml:space="preserve">9. NA Not Available on App Store </t>
  </si>
  <si>
    <t xml:space="preserve">9. NA Not available on App store </t>
  </si>
  <si>
    <t xml:space="preserve">20.Changed the Last Click </t>
  </si>
  <si>
    <t xml:space="preserve">17.Changed the Last Click </t>
  </si>
  <si>
    <t xml:space="preserve">11.Yes,Automatic popup </t>
  </si>
  <si>
    <t>12. Yes</t>
  </si>
  <si>
    <t>2.1.13</t>
  </si>
  <si>
    <t>22.afc-ran-com-_-digidip</t>
  </si>
  <si>
    <t>%7B%22icid%22%3A%7B%7D%2C%22cm_sp%22%3A%7B%7D%2C%22cm_mmc%22%3A%7B%22value%22%3A%22afc-ran-com-_-digidip%22%2C%22expiretime%22%3A1749319252421%7D%7D</t>
  </si>
  <si>
    <t>23.Newegg Coupon Finder</t>
  </si>
  <si>
    <t xml:space="preserve">19.Changed Last Click </t>
  </si>
  <si>
    <t xml:space="preserve">9.Changed the last click </t>
  </si>
  <si>
    <t xml:space="preserve">9. NA Not available in FireFox </t>
  </si>
  <si>
    <t xml:space="preserve">10. NA Not available on App store </t>
  </si>
  <si>
    <t xml:space="preserve">21.Changed the Last Click </t>
  </si>
  <si>
    <t xml:space="preserve">12.Yes,Automatic popup </t>
  </si>
  <si>
    <t>6. No</t>
  </si>
  <si>
    <t xml:space="preserve">11.Manually activate the coupon </t>
  </si>
  <si>
    <t>1.0.3</t>
  </si>
  <si>
    <r>
      <rPr/>
      <t>23.referring|</t>
    </r>
    <r>
      <rPr>
        <color rgb="FF1155CC"/>
        <u/>
      </rPr>
      <t>www.cashbackeasy.com</t>
    </r>
  </si>
  <si>
    <t>%7B%22icid%22%3A%7B%7D%2C%22cm_sp%22%3A%7B%7D%2C%22cm_mmc%22%3A%7B%22value%22%3A%22referring%7Cwww.cashbackeasy.com%22%2C%22expiretime%22%3A1749681695201%7D%7D</t>
  </si>
  <si>
    <t>24.Joko</t>
  </si>
  <si>
    <t xml:space="preserve">20.Changed Last Click </t>
  </si>
  <si>
    <t xml:space="preserve">10.Changed the last click </t>
  </si>
  <si>
    <t xml:space="preserve">13.Changed the last Click </t>
  </si>
  <si>
    <t xml:space="preserve">11. NA Not available on App store </t>
  </si>
  <si>
    <t xml:space="preserve">22.Changed the Last Click </t>
  </si>
  <si>
    <t xml:space="preserve">19.Changed the last click </t>
  </si>
  <si>
    <t>No, Check out page -&gt; apply codes.</t>
  </si>
  <si>
    <t xml:space="preserve">12. No, Manually click on the extension </t>
  </si>
  <si>
    <t>7. No</t>
  </si>
  <si>
    <t xml:space="preserve">12..Manually activate the discount </t>
  </si>
  <si>
    <t>2.1.77</t>
  </si>
  <si>
    <t>24.afc-ran-com-_-Joko</t>
  </si>
  <si>
    <t>%7B%22icid%22%3A%7B%7D%2C%22cm_sp%22%3A%7B%7D%2C%22cm_mmc%22%3A%7B%22value%22%3A%22afc-ran-com-_-Joko%22%2C%22expiretime%22%3A1749683788675%7D%7D</t>
  </si>
  <si>
    <t>25.Pie Shopping :  Cash Back and Coupons</t>
  </si>
  <si>
    <t>%7B%22icid%22%3A%7B%7D%2C%22cm_sp%22%3A%7B%7D%2C%22cm_mmc%22%3A%7B%22value%22%3A%22afc-ran-com-_-Linus%2520Tech%2520Tips%22%2C%22expiretime%22%3A1749317576935%7D%7D</t>
  </si>
  <si>
    <t xml:space="preserve">7. Did not Steal Last Click </t>
  </si>
  <si>
    <t xml:space="preserve">14.Did not steal the last click </t>
  </si>
  <si>
    <t xml:space="preserve">10. NA Not available in FireFox </t>
  </si>
  <si>
    <t xml:space="preserve">12. NA Not available on App store </t>
  </si>
  <si>
    <t>3. Did not Steal the last click.</t>
  </si>
  <si>
    <t xml:space="preserve">5.Did not steal Last Click </t>
  </si>
  <si>
    <t>Disabled</t>
  </si>
  <si>
    <t xml:space="preserve">13. Yes, Automatic pop up  </t>
  </si>
  <si>
    <t>8.No</t>
  </si>
  <si>
    <t xml:space="preserve">13.Manually activate </t>
  </si>
  <si>
    <t>1.23.1</t>
  </si>
  <si>
    <t>1. afc-ran-com-_-Linus%20Tech%20Tips</t>
  </si>
  <si>
    <t>%%7B%22icid%22%3A%7B%7D%2C%22cm_sp%22%3A%7B%7D%2C%22cm_mmc%22%3A%7B%22value%22%3A%22afc-ran-com-_-Linus%2520Tech%2520Tips%22%2C%22expiretime%22%3A1749317576935%7D%7D</t>
  </si>
  <si>
    <t>26.Total Coupon</t>
  </si>
  <si>
    <t xml:space="preserve">5.Did not steal the last click </t>
  </si>
  <si>
    <t xml:space="preserve">12. NF Plugin could not work properly </t>
  </si>
  <si>
    <t xml:space="preserve">15.Did not steal the last click </t>
  </si>
  <si>
    <t xml:space="preserve">11. NA Not available in FireFox </t>
  </si>
  <si>
    <t xml:space="preserve">13. NA Not available on App store </t>
  </si>
  <si>
    <t>4.Did not steal the last Click</t>
  </si>
  <si>
    <t xml:space="preserve">6.Did not Steal Last Click </t>
  </si>
  <si>
    <t xml:space="preserve">14.Yes,popup </t>
  </si>
  <si>
    <t>13. Yes</t>
  </si>
  <si>
    <t>7.9.1.296</t>
  </si>
  <si>
    <t>2. afc-ran-com-_-Linus%20Tech%20Tips</t>
  </si>
  <si>
    <t>27.Karma</t>
  </si>
  <si>
    <t xml:space="preserve">6.Did not steal the last click </t>
  </si>
  <si>
    <t xml:space="preserve">13. NF Plugin could not work properly </t>
  </si>
  <si>
    <t xml:space="preserve">16.Did not steal the last click </t>
  </si>
  <si>
    <t xml:space="preserve">14.Changed the last Click </t>
  </si>
  <si>
    <t xml:space="preserve">9. Did not steal </t>
  </si>
  <si>
    <t xml:space="preserve">10.Changed the Last click </t>
  </si>
  <si>
    <t xml:space="preserve">23.Changed the Last Click </t>
  </si>
  <si>
    <t xml:space="preserve">7.Did not steal Last Click </t>
  </si>
  <si>
    <t>No, had to click on the extension at the check out page.</t>
  </si>
  <si>
    <t xml:space="preserve">13. No, manually had to activate the coupon </t>
  </si>
  <si>
    <t>14. Yes</t>
  </si>
  <si>
    <t>10.78.0.21673</t>
  </si>
  <si>
    <t>25.afc-ran-com-_-Karma</t>
  </si>
  <si>
    <t>afc-ran-com-_-Karma</t>
  </si>
  <si>
    <t>21. afc-Karma</t>
  </si>
  <si>
    <t>28.askmeoffers</t>
  </si>
  <si>
    <t>%7B%22icid%22%3A%7B%7D%2C%22cm_sp%22%3A%7B%7D%2C%22cm_mmc%22%3A%7B%22value%22%3A%22afc-ran-com-_-Linus%2520Tech%2520Tips%22%2C%22expiretime%22%3A1749319744083%7D%7D</t>
  </si>
  <si>
    <t xml:space="preserve">7.Did not steal the last click </t>
  </si>
  <si>
    <r>
      <rPr>
        <color rgb="FF1155CC"/>
        <u/>
      </rPr>
      <t>14.NF</t>
    </r>
    <r>
      <rPr/>
      <t xml:space="preserve"> </t>
    </r>
  </si>
  <si>
    <t xml:space="preserve">2. NF No Coupons available </t>
  </si>
  <si>
    <t xml:space="preserve">12. NA Not available in FireFox </t>
  </si>
  <si>
    <t xml:space="preserve">14. NA Not available on App store </t>
  </si>
  <si>
    <t xml:space="preserve">5. Did not steal the Last Click </t>
  </si>
  <si>
    <t>8.Did not Steal Last Click</t>
  </si>
  <si>
    <t xml:space="preserve">Yes and cashback </t>
  </si>
  <si>
    <t xml:space="preserve">15.Yes,Automatic pop up </t>
  </si>
  <si>
    <t>15. Yes</t>
  </si>
  <si>
    <t>1.1.55</t>
  </si>
  <si>
    <t>3. afc-ran-com-_-Linus%20Tech%20Tips</t>
  </si>
  <si>
    <t>29.Shop Mail</t>
  </si>
  <si>
    <t xml:space="preserve">2. NF Plugin could not work properly </t>
  </si>
  <si>
    <t>15. NF</t>
  </si>
  <si>
    <t xml:space="preserve">3. NF Did not work properly in brave </t>
  </si>
  <si>
    <t xml:space="preserve">13. NA Not available in FireFox </t>
  </si>
  <si>
    <t xml:space="preserve">15. NA Not available on Safari </t>
  </si>
  <si>
    <t>1. Not Functional : Not Because of Privacy Reasons</t>
  </si>
  <si>
    <t>2. Not Functional : Not Because of Privacy Reasons</t>
  </si>
  <si>
    <t xml:space="preserve">14. No,manually had to activate </t>
  </si>
  <si>
    <t xml:space="preserve">14.Manual activate the coupon </t>
  </si>
  <si>
    <t>1.3.24</t>
  </si>
  <si>
    <t>4. afc-ran-com-_-Linus%20Tech%20Tips</t>
  </si>
  <si>
    <t>30.Shop TODAY Savings</t>
  </si>
  <si>
    <t xml:space="preserve">8. Did not steal </t>
  </si>
  <si>
    <t xml:space="preserve">17.Did not steal the last click </t>
  </si>
  <si>
    <t xml:space="preserve">14. NA Not available in FireFox </t>
  </si>
  <si>
    <t xml:space="preserve">16. NA Not available on App store </t>
  </si>
  <si>
    <t>6.Did not Steal the Last Click</t>
  </si>
  <si>
    <t>9.Did not Steal Last Click</t>
  </si>
  <si>
    <t>no</t>
  </si>
  <si>
    <t xml:space="preserve">16.Yes,Automatic Pop up </t>
  </si>
  <si>
    <t>16. Yes</t>
  </si>
  <si>
    <t>1.4.6</t>
  </si>
  <si>
    <t>5. afc-ran-com-_-Linus%20Tech%20Tips</t>
  </si>
  <si>
    <t>17. Yes</t>
  </si>
  <si>
    <t>31. Hoopla</t>
  </si>
  <si>
    <t xml:space="preserve">26.Changed last click </t>
  </si>
  <si>
    <t xml:space="preserve">21.Changed Last Click </t>
  </si>
  <si>
    <t>9. Did not Steal</t>
  </si>
  <si>
    <t xml:space="preserve">18.Did not steal the last click </t>
  </si>
  <si>
    <t xml:space="preserve">15.Changed the last Click </t>
  </si>
  <si>
    <t xml:space="preserve">5.Did not steal last click </t>
  </si>
  <si>
    <t xml:space="preserve">11.Changed the Last Click </t>
  </si>
  <si>
    <t>3. Not Functional : Not Because of Privacy Reasons</t>
  </si>
  <si>
    <t>3. Requires login</t>
  </si>
  <si>
    <t xml:space="preserve">No active codes, cashback </t>
  </si>
  <si>
    <t xml:space="preserve">17.Yes,Automatic Pop up </t>
  </si>
  <si>
    <t>1.0.34</t>
  </si>
  <si>
    <t xml:space="preserve">32. LoveDeals : Automatic Coupons and Deals </t>
  </si>
  <si>
    <t xml:space="preserve">27.Changed last click </t>
  </si>
  <si>
    <t xml:space="preserve">22.Changed Last Click </t>
  </si>
  <si>
    <t xml:space="preserve">11.Changed the last click </t>
  </si>
  <si>
    <t xml:space="preserve">16.Changed the last Click </t>
  </si>
  <si>
    <t xml:space="preserve">12.Changed the Last Click </t>
  </si>
  <si>
    <t xml:space="preserve">24.Changed the Last click </t>
  </si>
  <si>
    <t>20.Changed the Last Click</t>
  </si>
  <si>
    <t xml:space="preserve">No,need to type the site name in the search box </t>
  </si>
  <si>
    <t>15. No, Manual Click required.sign in, redirect, copy code.</t>
  </si>
  <si>
    <t>9. No</t>
  </si>
  <si>
    <t xml:space="preserve">15.Maually activate the coupon </t>
  </si>
  <si>
    <t>2.6.5</t>
  </si>
  <si>
    <t>33.Picodi.com</t>
  </si>
  <si>
    <t xml:space="preserve">28.Changed last click </t>
  </si>
  <si>
    <t xml:space="preserve">23.Changed Last Click </t>
  </si>
  <si>
    <t xml:space="preserve">12.Changed the last click </t>
  </si>
  <si>
    <t xml:space="preserve">17.Changed the last Click </t>
  </si>
  <si>
    <t xml:space="preserve">11.Did not Steal </t>
  </si>
  <si>
    <t>25. Changed the Last Click</t>
  </si>
  <si>
    <t>21. Changed the Last Click</t>
  </si>
  <si>
    <t>18.Yes, Popup Available.Click on Activate cash back, Before clicking on anything.</t>
  </si>
  <si>
    <t>10. No</t>
  </si>
  <si>
    <t xml:space="preserve">16.Manually </t>
  </si>
  <si>
    <t>7.5.12</t>
  </si>
  <si>
    <t>34.Refermate</t>
  </si>
  <si>
    <t>1 NF Does not work Properly in Chrome</t>
  </si>
  <si>
    <t xml:space="preserve">3. NF Plugin could not work properly </t>
  </si>
  <si>
    <r>
      <rPr>
        <color rgb="FF1155CC"/>
        <u/>
      </rPr>
      <t>16.NF</t>
    </r>
    <r>
      <rPr/>
      <t xml:space="preserve"> </t>
    </r>
  </si>
  <si>
    <t>4. NF Does not work on  Brave</t>
  </si>
  <si>
    <t xml:space="preserve">2. NF </t>
  </si>
  <si>
    <t xml:space="preserve">12.Did not Steal Last click </t>
  </si>
  <si>
    <t>14.Changed the Last Click</t>
  </si>
  <si>
    <t xml:space="preserve">7.Did not Steal Last Click </t>
  </si>
  <si>
    <t xml:space="preserve">10.Did not Steal Last Click </t>
  </si>
  <si>
    <t xml:space="preserve">4.Requires Login </t>
  </si>
  <si>
    <t>codes</t>
  </si>
  <si>
    <t>16. No, Manually access the plugin.Login -&gt; search by name -&gt; copy the code -&gt; paste it back in the website 1.</t>
  </si>
  <si>
    <t>11. No</t>
  </si>
  <si>
    <t xml:space="preserve">17.Manually activate the coupon </t>
  </si>
  <si>
    <t>2.0.12</t>
  </si>
  <si>
    <t xml:space="preserve">35. Chrome Coupon Finder - </t>
  </si>
  <si>
    <t>6 Did not steal the last click</t>
  </si>
  <si>
    <t>9. Did not steal the last click</t>
  </si>
  <si>
    <t>16. NF</t>
  </si>
  <si>
    <t xml:space="preserve">5. NF Did not work properly in brave </t>
  </si>
  <si>
    <t>14. NA</t>
  </si>
  <si>
    <t>17. NA</t>
  </si>
  <si>
    <t>3. NF</t>
  </si>
  <si>
    <t xml:space="preserve">4. NF </t>
  </si>
  <si>
    <t xml:space="preserve">No, </t>
  </si>
  <si>
    <t>No code</t>
  </si>
  <si>
    <t xml:space="preserve">17. No, Manually click on the extensions icon. </t>
  </si>
  <si>
    <t>12. No</t>
  </si>
  <si>
    <t>18.Manually activate the coupon</t>
  </si>
  <si>
    <t>1.0.0</t>
  </si>
  <si>
    <t xml:space="preserve">24/35 :Injected as referrer </t>
  </si>
  <si>
    <t>8/35:Did not interfere</t>
  </si>
  <si>
    <t>1/35 NA :</t>
  </si>
  <si>
    <t>3/35 NF :</t>
  </si>
  <si>
    <t xml:space="preserve">Plugins </t>
  </si>
  <si>
    <t>Version</t>
  </si>
  <si>
    <t xml:space="preserve">Hijacking </t>
  </si>
  <si>
    <t>Coupon/s or Cashback Provided ?</t>
  </si>
  <si>
    <t>Coupons worked?</t>
  </si>
  <si>
    <t xml:space="preserve">Extension ID </t>
  </si>
  <si>
    <t xml:space="preserve">Requries Login </t>
  </si>
  <si>
    <t xml:space="preserve">Honey </t>
  </si>
  <si>
    <t>18.2.1</t>
  </si>
  <si>
    <t>bmnlcjabgnpnenekpadlanbbkooimhnj</t>
  </si>
  <si>
    <t>Capital One</t>
  </si>
  <si>
    <t>0.1.1317</t>
  </si>
  <si>
    <t>nenlahapcbofgnanklpelkaejcehkggg</t>
  </si>
  <si>
    <t>Avast SafePrice</t>
  </si>
  <si>
    <t>24.15.0.766</t>
  </si>
  <si>
    <t>eofcbnmajmjmplflapaojjnihcjkigck</t>
  </si>
  <si>
    <t>Avira Safe Shopping</t>
  </si>
  <si>
    <t>7.31.0.766</t>
  </si>
  <si>
    <t>ccbpbkebodcjkknkfkpmfeciinhidaeh</t>
  </si>
  <si>
    <t xml:space="preserve">Coupert </t>
  </si>
  <si>
    <t>6.15.59</t>
  </si>
  <si>
    <t>mfidniedemcgceagapgdekdbmanojomk</t>
  </si>
  <si>
    <t xml:space="preserve">Error : chrome://extensions/?errors=mfidniedemcgceagapgdekdbmanojomk </t>
  </si>
  <si>
    <t xml:space="preserve">Rakuten </t>
  </si>
  <si>
    <t>5.74.0</t>
  </si>
  <si>
    <t>chhjbpecpncaggjpdakmflnfcopglcmi</t>
  </si>
  <si>
    <t xml:space="preserve">Karma </t>
  </si>
  <si>
    <t>10.79.1.21744</t>
  </si>
  <si>
    <t>emalgedpdlghbkikiaeocoblajamonoh</t>
  </si>
  <si>
    <t>RetailMeNot: Codes, Cash Back and Coupons</t>
  </si>
  <si>
    <t>4.18.0</t>
  </si>
  <si>
    <t>jjfblogammkiefalfpafidabbnamoknm</t>
  </si>
  <si>
    <t>Couponbirds</t>
  </si>
  <si>
    <t>4.4.7</t>
  </si>
  <si>
    <t>pnedebpjhiaidlbbhmogocmffpdolnek</t>
  </si>
  <si>
    <t>Mino</t>
  </si>
  <si>
    <t>4.32.0</t>
  </si>
  <si>
    <t>fefnkplkicihcoenmljhbihhaaagjhpp</t>
  </si>
  <si>
    <t>Pie Shopping :  Cash Back and Coupons</t>
  </si>
  <si>
    <t>1.29.1</t>
  </si>
  <si>
    <t>nfadicbbecgbdbgbibgflooojfbolpgk</t>
  </si>
  <si>
    <t>Dontpayfull</t>
  </si>
  <si>
    <t>2.1.16</t>
  </si>
  <si>
    <t>jfoanacamkbfibjbidbmeobmnndfgpca</t>
  </si>
  <si>
    <t xml:space="preserve">Norton </t>
  </si>
  <si>
    <t>oepffghndhegipmpeimohnlncaogojok</t>
  </si>
  <si>
    <t>BeFrugal: Automatic Coupons and Cash Back</t>
  </si>
  <si>
    <t>2025.6.236.0</t>
  </si>
  <si>
    <t>logldmlncddmdfcjaaljjjkajcnacigc</t>
  </si>
  <si>
    <t xml:space="preserve">Cently by Coupon Follow </t>
  </si>
  <si>
    <t>7.31.0</t>
  </si>
  <si>
    <t>kegphgaihkjoophpabchkmpaknehfamb</t>
  </si>
  <si>
    <t>PriceBlink Coupons and Price Comparison</t>
  </si>
  <si>
    <t>aoiidodopnnhiflaflbfeblnojefhigh</t>
  </si>
  <si>
    <t>Joko: Cash back &amp; automatic coupons</t>
  </si>
  <si>
    <t>2.1.88</t>
  </si>
  <si>
    <t>jigflhhckdjdefdjmodlkomnmdonfbbn</t>
  </si>
  <si>
    <t>TopCashback</t>
  </si>
  <si>
    <t>7.1.0.0</t>
  </si>
  <si>
    <t>lkmpdpkkkeeoiodlnmlichcmfmdjbjic</t>
  </si>
  <si>
    <t>CNET Shopping</t>
  </si>
  <si>
    <t>lghjfnfolmcikomdjmoiemllfnlmmoko</t>
  </si>
  <si>
    <t>Picodi.com</t>
  </si>
  <si>
    <t>kafpjghdfockenndmdalblagbonhemkf</t>
  </si>
  <si>
    <t>Student Beans: Exclusive Student Discounts</t>
  </si>
  <si>
    <t>Neither</t>
  </si>
  <si>
    <t>pdmhehfogekmpmdoemhabjpaiadagpgp</t>
  </si>
  <si>
    <t>LoveDeals : Automatic Coupons and Deals : Safari</t>
  </si>
  <si>
    <t>ocallppfcfgngjhoplfhlmekcdjaeapl</t>
  </si>
  <si>
    <t>CouponCabin Sidekick - Coupons &amp; Cash Back</t>
  </si>
  <si>
    <t>3.5.1.0</t>
  </si>
  <si>
    <t>pcihjlbjjghnbohanlafcldoddloecfo</t>
  </si>
  <si>
    <t>SimplyCodes: Promo Codes &amp; Rewards</t>
  </si>
  <si>
    <t>2.5.3</t>
  </si>
  <si>
    <t>gfkpklgmocbcbdabfellcnikamdaeajd</t>
  </si>
  <si>
    <t>FatCoupon Cashback &amp; Promo Codes</t>
  </si>
  <si>
    <t>cakejefemdjbmhdjkjhibjhmhgjefidm</t>
  </si>
  <si>
    <t>Askmeoffers</t>
  </si>
  <si>
    <t>kmklnaljhcfcancckobnbafdhkbigfkk</t>
  </si>
  <si>
    <t>Moolah - Automatic Coupon Hunter</t>
  </si>
  <si>
    <t>gdnhngmilhhebigaokmniikdlcjbcbhg</t>
  </si>
  <si>
    <t>Shop TODAY Savings</t>
  </si>
  <si>
    <t>dngacpgmjhcjdeccndpdpnlckjihoflp</t>
  </si>
  <si>
    <t xml:space="preserve">Total Coupon </t>
  </si>
  <si>
    <t xml:space="preserve">Extension was unpublished by the developer </t>
  </si>
  <si>
    <t>Kindred Shop 'n Save</t>
  </si>
  <si>
    <t>7.0.0</t>
  </si>
  <si>
    <t>lceichhhobiacakfgcceclahjchbfoee</t>
  </si>
  <si>
    <t xml:space="preserve">Hoopla : safari </t>
  </si>
  <si>
    <t xml:space="preserve">
1.0.35</t>
  </si>
  <si>
    <t>ooplafalnjanalchifpohefplpjkejjj</t>
  </si>
  <si>
    <t>Shopmail</t>
  </si>
  <si>
    <t>1.3.28</t>
  </si>
  <si>
    <t>hjimmklopenmealinniilgohbmglfooi</t>
  </si>
  <si>
    <t>Refermate</t>
  </si>
  <si>
    <t>dddlhfhjollgmachbmaibnpaepdahgnj</t>
  </si>
  <si>
    <t>Chrome Coupon Finder</t>
  </si>
  <si>
    <t>mcjkhngabfbkfbhbinmkfngdpnhhbgee</t>
  </si>
  <si>
    <t>Newegg Coupon Finder - Find the best coupons for Newegg</t>
  </si>
  <si>
    <t>haigkjdpfefcedelnkfaapkkgofnokch</t>
  </si>
  <si>
    <t xml:space="preserve">Browser Extension </t>
  </si>
  <si>
    <t>Chrome Versions - Oct 22nd</t>
  </si>
  <si>
    <t xml:space="preserve">Chrome Versions - May 2025 </t>
  </si>
  <si>
    <t>Chrome Updates since May 2025</t>
  </si>
  <si>
    <t>Brave Versions - May 2025</t>
  </si>
  <si>
    <t>Firefox Versions - May 2025</t>
  </si>
  <si>
    <t>Firefox Updates since May 2025</t>
  </si>
  <si>
    <t>Edge Versions - May 2025</t>
  </si>
  <si>
    <t xml:space="preserve">Safari Version as of May 2025 </t>
  </si>
  <si>
    <t>Safari Updates since May 2025</t>
  </si>
  <si>
    <t>18.2.0</t>
  </si>
  <si>
    <t>Version 17.1.1</t>
  </si>
  <si>
    <t>Version 12.8.4</t>
  </si>
  <si>
    <t>No Updates since testing</t>
  </si>
  <si>
    <t>Version 17.0.55</t>
  </si>
  <si>
    <t xml:space="preserve">2.Coupert </t>
  </si>
  <si>
    <t>Version 6.13.9</t>
  </si>
  <si>
    <t>Version 6.12.86</t>
  </si>
  <si>
    <t>Version 6.11.98</t>
  </si>
  <si>
    <t>3.Couponbirds</t>
  </si>
  <si>
    <t>Version 4.3.3</t>
  </si>
  <si>
    <t>Version 4.2.11</t>
  </si>
  <si>
    <t>Version 1.3.7</t>
  </si>
  <si>
    <t xml:space="preserve">4.Rakuten </t>
  </si>
  <si>
    <t>Version 5.64.0</t>
  </si>
  <si>
    <t>Version 5.67.3</t>
  </si>
  <si>
    <t>Version 6.40.2</t>
  </si>
  <si>
    <t>Version 2.5.1</t>
  </si>
  <si>
    <t>Version 1.6.6</t>
  </si>
  <si>
    <t>Version 3.0.21</t>
  </si>
  <si>
    <t>Version 7.24.0</t>
  </si>
  <si>
    <t xml:space="preserve">Not Available </t>
  </si>
  <si>
    <t>Not available</t>
  </si>
  <si>
    <t>Version 1.0.25</t>
  </si>
  <si>
    <t xml:space="preserve">Not available </t>
  </si>
  <si>
    <t>Version 7.27.0.724</t>
  </si>
  <si>
    <t>Not Available</t>
  </si>
  <si>
    <t>9.Mino</t>
  </si>
  <si>
    <t>Version 4.30.0</t>
  </si>
  <si>
    <t>Version 4.15.4</t>
  </si>
  <si>
    <t>Version 24.11.0.724</t>
  </si>
  <si>
    <t>Version 2025.6.225.0</t>
  </si>
  <si>
    <t>Version 2025.6.211.0</t>
  </si>
  <si>
    <t>Version 1.06</t>
  </si>
  <si>
    <t>Version 9.6.0</t>
  </si>
  <si>
    <t>Version 8.66</t>
  </si>
  <si>
    <t>Version 4.11.0</t>
  </si>
  <si>
    <t>Version 1.10.0</t>
  </si>
  <si>
    <t>Version 3.5.0.9</t>
  </si>
  <si>
    <t>Version 1.1.14</t>
  </si>
  <si>
    <t>Version 6.3.2.4</t>
  </si>
  <si>
    <t>Version 6.8.1.0</t>
  </si>
  <si>
    <t>Version 1.1.11</t>
  </si>
  <si>
    <t>Version 14.17.0</t>
  </si>
  <si>
    <t>Version 14.17</t>
  </si>
  <si>
    <t>Version 2.4.4</t>
  </si>
  <si>
    <t>Version 6.0.7</t>
  </si>
  <si>
    <t>Version 6.0.8</t>
  </si>
  <si>
    <t>Version 3.2.0</t>
  </si>
  <si>
    <t>Version 0.1.1276</t>
  </si>
  <si>
    <t>Version 0.1.1219</t>
  </si>
  <si>
    <t>Version 2.15.0</t>
  </si>
  <si>
    <t>Version 2.1.5</t>
  </si>
  <si>
    <t>Version 1.0.3</t>
  </si>
  <si>
    <t>Version 2.1.71</t>
  </si>
  <si>
    <t>Version 2.1.66</t>
  </si>
  <si>
    <t>Version 1.14.5</t>
  </si>
  <si>
    <t>Version 7.9.1.296</t>
  </si>
  <si>
    <t>Version 10.75.1.21622</t>
  </si>
  <si>
    <t>Version 10.71.2</t>
  </si>
  <si>
    <t>Version 10.55.0</t>
  </si>
  <si>
    <t>Version 1.1.55</t>
  </si>
  <si>
    <t>Version 1.3.24</t>
  </si>
  <si>
    <t>Version 1.4.6</t>
  </si>
  <si>
    <t>Version 1.0.34</t>
  </si>
  <si>
    <t>!! Can not be found on the appstore</t>
  </si>
  <si>
    <t>Version 2.5.0</t>
  </si>
  <si>
    <t>Version 2.5.7</t>
  </si>
  <si>
    <t>Version 1.0.6</t>
  </si>
  <si>
    <r>
      <rPr>
        <color rgb="FF000000"/>
      </rPr>
      <t xml:space="preserve">33. </t>
    </r>
    <r>
      <rPr>
        <color rgb="FF1155CC"/>
        <u/>
      </rPr>
      <t>Picodi.com</t>
    </r>
  </si>
  <si>
    <t>Version 7.5.11</t>
  </si>
  <si>
    <t>Version 1.0.22</t>
  </si>
  <si>
    <t>Version 1.2.9</t>
  </si>
  <si>
    <t>Version 2.0.12</t>
  </si>
  <si>
    <t>Version 2.0.10</t>
  </si>
  <si>
    <t>Version 1.12</t>
  </si>
  <si>
    <t>Version 1.0.0</t>
  </si>
  <si>
    <t xml:space="preserve">Browser </t>
  </si>
  <si>
    <t xml:space="preserve">Browser Versions </t>
  </si>
  <si>
    <t>Chrome</t>
  </si>
  <si>
    <t xml:space="preserve">Safari </t>
  </si>
  <si>
    <t>https://www.ftc.gov/business-guidance/resources/disclosures-101-social-media-influencers</t>
  </si>
  <si>
    <t xml:space="preserve">Affiliate Disclosures </t>
  </si>
  <si>
    <t xml:space="preserve">Location of Affiliate Disclosure </t>
  </si>
  <si>
    <t xml:space="preserve">Compliant </t>
  </si>
  <si>
    <t xml:space="preserve">Non Compliant </t>
  </si>
  <si>
    <t xml:space="preserve">Non compliant </t>
  </si>
  <si>
    <t>Compliant</t>
  </si>
  <si>
    <t xml:space="preserve">Non - Compliant </t>
  </si>
  <si>
    <t xml:space="preserve">N/A : do not use Affiliate marketing to earn money and also do not steal the last click </t>
  </si>
  <si>
    <t>N/A</t>
  </si>
  <si>
    <t xml:space="preserve">Non- Compliant </t>
  </si>
  <si>
    <t>33. Picodi.com</t>
  </si>
  <si>
    <t xml:space="preserve">Total : </t>
  </si>
  <si>
    <t xml:space="preserve">Google Chrome - Default </t>
  </si>
  <si>
    <t xml:space="preserve">Google Chrome - Privacy Features on </t>
  </si>
  <si>
    <t>Brave Default: Blocks Third Party Cookies Bydefault</t>
  </si>
  <si>
    <r>
      <rPr>
        <color rgb="FF1155CC"/>
        <u/>
      </rPr>
      <t>3.NA</t>
    </r>
    <r>
      <rPr/>
      <t xml:space="preserve"> Not available on App store</t>
    </r>
  </si>
  <si>
    <t>10.Changed Last Click</t>
  </si>
  <si>
    <t xml:space="preserve">24.Changed Last Click </t>
  </si>
  <si>
    <t xml:space="preserve">1. Did not steal the last click </t>
  </si>
  <si>
    <t xml:space="preserve">25.Changed Last Click </t>
  </si>
  <si>
    <r>
      <rPr>
        <color rgb="FF1155CC"/>
        <u/>
      </rPr>
      <t>14.NF</t>
    </r>
    <r>
      <rPr/>
      <t xml:space="preserve"> </t>
    </r>
  </si>
  <si>
    <t xml:space="preserve">4. Did not steal the last click </t>
  </si>
  <si>
    <t xml:space="preserve">5. Did not steal the last click </t>
  </si>
  <si>
    <t xml:space="preserve">10.Did not Steal </t>
  </si>
  <si>
    <t>1. NF Does not work Properly in Chrome</t>
  </si>
  <si>
    <r>
      <rPr>
        <color rgb="FF1155CC"/>
        <u/>
      </rPr>
      <t>16.NF</t>
    </r>
    <r>
      <rPr/>
      <t xml:space="preserve"> </t>
    </r>
  </si>
  <si>
    <t xml:space="preserve">11.Did not Steal Last click </t>
  </si>
  <si>
    <t>10. Did not steal</t>
  </si>
  <si>
    <t xml:space="preserve">19. Did not steal the last click </t>
  </si>
  <si>
    <t>15. NA</t>
  </si>
  <si>
    <t xml:space="preserve">8. Did not Steal the Last Click </t>
  </si>
  <si>
    <t xml:space="preserve">11. Did not Steal the Last Click </t>
  </si>
  <si>
    <t xml:space="preserve">28/35: Injected as referrer </t>
  </si>
  <si>
    <t xml:space="preserve">23/35 :Injected as referrer </t>
  </si>
  <si>
    <t xml:space="preserve">9/35 :Injected as referrer </t>
  </si>
  <si>
    <t xml:space="preserve">12/35 :Injected as referrer </t>
  </si>
  <si>
    <t xml:space="preserve">17/35 :Injected as referrer </t>
  </si>
  <si>
    <t xml:space="preserve">13/35 :Injected as referrer </t>
  </si>
  <si>
    <t xml:space="preserve">6/35 :Injected as referrer </t>
  </si>
  <si>
    <t xml:space="preserve">14/35 :Injected as referrer </t>
  </si>
  <si>
    <t xml:space="preserve">25/35 :Injected as referrer </t>
  </si>
  <si>
    <t xml:space="preserve">21/35 :Injected as referrer </t>
  </si>
  <si>
    <t xml:space="preserve">6/35 Did not steal the last click </t>
  </si>
  <si>
    <t>9/35:Did not interfere</t>
  </si>
  <si>
    <t>10/35:Did not interfere</t>
  </si>
  <si>
    <t>19/35:Did not interfere</t>
  </si>
  <si>
    <t>1/35:Did not interfere</t>
  </si>
  <si>
    <t>5/35:Did not interfere</t>
  </si>
  <si>
    <t>11/35:Did not interfere</t>
  </si>
  <si>
    <t>3/35:Did not interfere</t>
  </si>
  <si>
    <t>1/35 NF</t>
  </si>
  <si>
    <t>16/35 NF :</t>
  </si>
  <si>
    <t>4/35 NF :</t>
  </si>
  <si>
    <t xml:space="preserve">2/35 NF </t>
  </si>
  <si>
    <t xml:space="preserve">1/35 NF </t>
  </si>
  <si>
    <t xml:space="preserve">3/35 NF </t>
  </si>
  <si>
    <t>15/35 : NA</t>
  </si>
  <si>
    <t>17/35 : NA</t>
  </si>
  <si>
    <t xml:space="preserve">Manipulated last-click cookies </t>
  </si>
  <si>
    <t>Did Not Interfere with attribution</t>
  </si>
  <si>
    <t xml:space="preserve">Not Functional </t>
  </si>
  <si>
    <t xml:space="preserve">Total </t>
  </si>
  <si>
    <t>Chrome - Default</t>
  </si>
  <si>
    <t>Chrome - Privacy</t>
  </si>
  <si>
    <t xml:space="preserve">Brave -Default Settings </t>
  </si>
  <si>
    <t xml:space="preserve">Brave With Privacy Features </t>
  </si>
  <si>
    <t xml:space="preserve">Firefox - Default Settings </t>
  </si>
  <si>
    <t xml:space="preserve">Firefox - With Privacy Features </t>
  </si>
  <si>
    <t>Safari- Default</t>
  </si>
  <si>
    <t xml:space="preserve">Safari- with privacy feature </t>
  </si>
  <si>
    <t>Microsoft Edge</t>
  </si>
  <si>
    <t xml:space="preserve">Microsoft Edge - Privacy Features </t>
  </si>
  <si>
    <t>Dataset 
User Percentage</t>
  </si>
  <si>
    <t>Last Click</t>
  </si>
  <si>
    <t>First Click</t>
  </si>
  <si>
    <t>Multi Touch</t>
  </si>
  <si>
    <t>Dataset User Percentage</t>
  </si>
  <si>
    <t>Last Click Attribution Model</t>
  </si>
  <si>
    <t>First Click Attribution Model</t>
  </si>
  <si>
    <t>Multi Touch Attribution Model</t>
  </si>
  <si>
    <t>Column 1</t>
  </si>
  <si>
    <t xml:space="preserve">Name </t>
  </si>
  <si>
    <t>link</t>
  </si>
  <si>
    <t>Ratings</t>
  </si>
  <si>
    <t>users</t>
  </si>
  <si>
    <t>Version Available</t>
  </si>
  <si>
    <t>https://chromewebstore.google.com/detail/honey-automatic-coupons-r/bmnlcjabgnpnenekpadlanbbkooimhnj</t>
  </si>
  <si>
    <t>179.7k+</t>
  </si>
  <si>
    <t xml:space="preserve">17.1.1 </t>
  </si>
  <si>
    <t>Number of Users : number of users who have the extension installed and have opened Chrome in the past 7 days</t>
  </si>
  <si>
    <t>https://capitaloneshopping.com/</t>
  </si>
  <si>
    <t>16K</t>
  </si>
  <si>
    <t>Do not hijack last click.</t>
  </si>
  <si>
    <t>https://www.avast.com/en-us/index#mac</t>
  </si>
  <si>
    <t>11.7K</t>
  </si>
  <si>
    <t xml:space="preserve">Did not use for testing. </t>
  </si>
  <si>
    <t>https://www.avira.com/</t>
  </si>
  <si>
    <t>https://www.rakuten.com/</t>
  </si>
  <si>
    <t>43.7K</t>
  </si>
  <si>
    <t>coupert</t>
  </si>
  <si>
    <t>https://www.coupert.com/</t>
  </si>
  <si>
    <t>9.7K</t>
  </si>
  <si>
    <t>https://www.karmanow.com/</t>
  </si>
  <si>
    <t>3.9K</t>
  </si>
  <si>
    <t>https://www.retailmenot.com/</t>
  </si>
  <si>
    <t xml:space="preserve">Summary </t>
  </si>
  <si>
    <t>couponbirds</t>
  </si>
  <si>
    <t>https://smart.couponbirds.com/welcome</t>
  </si>
  <si>
    <t>9.5k+</t>
  </si>
  <si>
    <t xml:space="preserve">50 + Plugins tested </t>
  </si>
  <si>
    <t>mino</t>
  </si>
  <si>
    <t>https://www.gomino.com/</t>
  </si>
  <si>
    <t>4K</t>
  </si>
  <si>
    <t xml:space="preserve">23 stole last clicks </t>
  </si>
  <si>
    <t>https://pie.org/</t>
  </si>
  <si>
    <t>dontpayfull</t>
  </si>
  <si>
    <t>https://www.dontpayfull.com/</t>
  </si>
  <si>
    <t>3.4k+</t>
  </si>
  <si>
    <t xml:space="preserve">norton </t>
  </si>
  <si>
    <t>https://support.norton.com/sp/en/us/home/current/solutions/v20231108183955550</t>
  </si>
  <si>
    <t>https://www.befrugal.com/</t>
  </si>
  <si>
    <t>1.8K</t>
  </si>
  <si>
    <t>https://couponfollow.com/cashback?mid=5DYQX5W2Q2&amp;epid=1646659536</t>
  </si>
  <si>
    <t>15.4k</t>
  </si>
  <si>
    <t>https://www.priceblink.com/</t>
  </si>
  <si>
    <t>1.3K</t>
  </si>
  <si>
    <t>https://app.joko.com/home</t>
  </si>
  <si>
    <t>https://www.topcashback.com/</t>
  </si>
  <si>
    <t>https://www.cnet.com/</t>
  </si>
  <si>
    <t>https://www.couponcabin.com/</t>
  </si>
  <si>
    <t>https://simplycodes.com/</t>
  </si>
  <si>
    <t>https://fatcoupon.com/welcome</t>
  </si>
  <si>
    <t>2.3K</t>
  </si>
  <si>
    <t>askmeoffers</t>
  </si>
  <si>
    <t>https://askmeoffers.com/</t>
  </si>
  <si>
    <t>8.7K</t>
  </si>
  <si>
    <t>https://www.joinmoolah.com/</t>
  </si>
  <si>
    <t>https://www.totalcoupon.com/</t>
  </si>
  <si>
    <t>Couponuts - Automatic Coupon &amp; Voucher finder : does not support newegg</t>
  </si>
  <si>
    <t>https://couponuts.com/</t>
  </si>
  <si>
    <t>https://www.getshopmail.com/</t>
  </si>
  <si>
    <t>https://chromewebstore.google.com/detail/haigkjdpfefcedelnkfaapkkgofnokch?utm_source=item-share-cb</t>
  </si>
  <si>
    <t>-</t>
  </si>
  <si>
    <t>https://chromewebstore.google.com/detail/kindred-shop-n-save/lceichhhobiacakfgcceclahjchbfoee?hl=en-US&amp;utm_source=ext_sidebar</t>
  </si>
  <si>
    <t>https://chromewebstore.google.com/detail/student-beans-exclusive-s/pdmhehfogekmpmdoemhabjpaiadagpgp</t>
  </si>
  <si>
    <t>https://www.today.com/shop</t>
  </si>
  <si>
    <t>Yahoo Shopping : No codes for Newegg</t>
  </si>
  <si>
    <t xml:space="preserve">Alitools Shopping Assistant : Does not work with newegg </t>
  </si>
  <si>
    <t>https://alitools.io/en</t>
  </si>
  <si>
    <t>3.6K</t>
  </si>
  <si>
    <t>ALM Coupon Codes Finder - Start Saving Today! : Does not work with newegg</t>
  </si>
  <si>
    <t>ShopBuddy for Canada: Cash Back &amp; Coupons : Does not work with newegg</t>
  </si>
  <si>
    <r>
      <rPr/>
      <t>Ali Express coupons : only works on AliExpress ,</t>
    </r>
    <r>
      <rPr>
        <color rgb="FF1155CC"/>
        <u/>
      </rPr>
      <t>https://alicoupons.org/en/new-version/</t>
    </r>
    <r>
      <rPr/>
      <t xml:space="preserve"> </t>
    </r>
  </si>
  <si>
    <t>Deal Drop : does not work with Newegg</t>
  </si>
  <si>
    <t>https://www.dealdrop.com/</t>
  </si>
  <si>
    <t>Hive - Coupons, Promo Codes, &amp; Discounts : Does not work with newegg</t>
  </si>
  <si>
    <t>https://chromewebstore.google.com/detail/hive-coupons-promo-codes/godkpmhfjjbhcgafplpkaobcmknfebeh?hl=en-US&amp;utm_source=ext_sidebar</t>
  </si>
  <si>
    <t xml:space="preserve">Fresh Coupons - does not work </t>
  </si>
  <si>
    <t xml:space="preserve"> Wanteed : Does not work with newegg - Safari </t>
  </si>
  <si>
    <t>https://wanteeed.com/us/welcome/confirm?extension=true&amp;amp_device_id=d8da411c444c40089c301a078f77676d</t>
  </si>
  <si>
    <t xml:space="preserve">Mojo  Does not work with newegg - Safari </t>
  </si>
  <si>
    <t>https://apps.apple.com/us/app/lovedeals-automatic-coupons/id6745160463?mt=12</t>
  </si>
  <si>
    <t xml:space="preserve">Shopping Spout: Safari </t>
  </si>
  <si>
    <t>https://apps.apple.com/us/app/shopping-spout-coupons-codes/id6744651005?mt=12</t>
  </si>
  <si>
    <t xml:space="preserve">Caramel </t>
  </si>
  <si>
    <t>https://apps.apple.com/us/app/caramel/id6741873881</t>
  </si>
  <si>
    <t xml:space="preserve">Coupon2Deal : Safari : Did not work, site underconstruction </t>
  </si>
  <si>
    <t>https://apps.apple.com/us/app/coupon2deal/id1582298537?mt=12</t>
  </si>
  <si>
    <t>Rabatta :  Does not work for newegg</t>
  </si>
  <si>
    <t>https://apps.apple.com/us/app/rabatta-discounts-prices/id1577071722</t>
  </si>
  <si>
    <t>https://apps.apple.com/us/app/picodi-com/id1617077874?mt=12</t>
  </si>
  <si>
    <t>Poinz : Does not work with newegg</t>
  </si>
  <si>
    <t xml:space="preserve">hotukdeals : Does not work with newegg </t>
  </si>
  <si>
    <t>Yeahcodie : Does not work with newegg</t>
  </si>
  <si>
    <t>https://apps.apple.com/us/app/refermate-for-safari/id6480025711?mt=12</t>
  </si>
  <si>
    <t xml:space="preserve">betterdeals </t>
  </si>
  <si>
    <t>https://chromewebstore.google.com/detail/mcjkhngabfbkfbhbinmkfngdpnhhbgee?utm_source=item-share-cb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</si>
</sst>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sz val="9.0"/>
      <color rgb="FF171D1E"/>
      <name val="Arial"/>
    </font>
    <font/>
    <font>
      <sz val="9.0"/>
      <color rgb="FF171D1E"/>
      <name val="System-ui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444746"/>
      <name val="System-ui"/>
    </font>
    <font>
      <color rgb="FF444746"/>
      <name val="Arial"/>
    </font>
    <font>
      <sz val="12.0"/>
      <color rgb="FF000000"/>
      <name val="System-ui"/>
    </font>
    <font>
      <color rgb="FF000000"/>
    </font>
    <font>
      <b/>
      <sz val="13.0"/>
      <color rgb="FF000000"/>
      <name val="&quot;Times New Roman&quot;"/>
    </font>
    <font>
      <u/>
      <color rgb="FF0000FF"/>
      <name val="Roboto"/>
    </font>
    <font>
      <u/>
      <color rgb="FF0000FF"/>
      <name val="Roboto"/>
    </font>
    <font>
      <color rgb="FF1F1F1F"/>
      <name val="&quot;Google Sans&quot;"/>
    </font>
    <font>
      <b/>
      <strike/>
      <color rgb="FF1F1F1F"/>
      <name val="&quot;Google Sans&quot;"/>
    </font>
    <font>
      <u/>
      <color rgb="FF434343"/>
      <name val="Roboto"/>
    </font>
    <font>
      <strike/>
      <color theme="1"/>
      <name val="Arial"/>
      <scheme val="minor"/>
    </font>
    <font>
      <u/>
      <color rgb="FF0000FF"/>
      <name val="Roboto"/>
    </font>
    <font>
      <b/>
      <color rgb="FF1F1F1F"/>
      <name val="&quot;Google Sans&quot;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434343"/>
      <name val="Arial"/>
      <scheme val="minor"/>
    </font>
    <font>
      <u/>
      <color rgb="FF434343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8FDFF"/>
        <bgColor rgb="FFF8FDFF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2" fillId="2" fontId="4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4" fontId="3" numFmtId="0" xfId="0" applyAlignment="1" applyBorder="1" applyFill="1" applyFont="1">
      <alignment readingOrder="0" shrinkToFit="0" wrapText="1"/>
    </xf>
    <xf borderId="3" fillId="0" fontId="5" numFmtId="0" xfId="0" applyBorder="1" applyFont="1"/>
    <xf borderId="1" fillId="3" fontId="3" numFmtId="0" xfId="0" applyAlignment="1" applyBorder="1" applyFont="1">
      <alignment readingOrder="0"/>
    </xf>
    <xf borderId="2" fillId="2" fontId="6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readingOrder="0" shrinkToFit="0" wrapText="1"/>
    </xf>
    <xf borderId="0" fillId="4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6" fontId="3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1" fillId="0" fontId="3" numFmtId="0" xfId="0" applyAlignment="1" applyBorder="1" applyFont="1">
      <alignment readingOrder="0" vertical="center"/>
    </xf>
    <xf borderId="1" fillId="2" fontId="6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readingOrder="0"/>
    </xf>
    <xf borderId="1" fillId="3" fontId="10" numFmtId="0" xfId="0" applyAlignment="1" applyBorder="1" applyFont="1">
      <alignment readingOrder="0" shrinkToFit="0" wrapText="1"/>
    </xf>
    <xf borderId="1" fillId="3" fontId="8" numFmtId="0" xfId="0" applyAlignment="1" applyBorder="1" applyFont="1">
      <alignment readingOrder="0"/>
    </xf>
    <xf borderId="1" fillId="3" fontId="8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1" fillId="7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8" fontId="3" numFmtId="0" xfId="0" applyAlignment="1" applyBorder="1" applyFill="1" applyFont="1">
      <alignment readingOrder="0"/>
    </xf>
    <xf borderId="1" fillId="5" fontId="11" numFmtId="0" xfId="0" applyAlignment="1" applyBorder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0" fontId="3" numFmtId="0" xfId="0" applyFont="1"/>
    <xf borderId="0" fillId="9" fontId="3" numFmtId="0" xfId="0" applyFill="1" applyFont="1"/>
    <xf borderId="0" fillId="9" fontId="3" numFmtId="0" xfId="0" applyAlignment="1" applyFont="1">
      <alignment readingOrder="0"/>
    </xf>
    <xf borderId="0" fillId="9" fontId="3" numFmtId="0" xfId="0" applyAlignment="1" applyFont="1">
      <alignment readingOrder="0"/>
    </xf>
    <xf borderId="0" fillId="10" fontId="3" numFmtId="0" xfId="0" applyFill="1" applyFont="1"/>
    <xf borderId="0" fillId="10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0" fontId="12" numFmtId="0" xfId="0" applyFont="1"/>
    <xf borderId="0" fillId="9" fontId="3" numFmtId="0" xfId="0" applyAlignment="1" applyFont="1">
      <alignment horizontal="center" readingOrder="0"/>
    </xf>
    <xf borderId="0" fillId="9" fontId="13" numFmtId="0" xfId="0" applyAlignment="1" applyFont="1">
      <alignment readingOrder="0"/>
    </xf>
    <xf borderId="0" fillId="9" fontId="13" numFmtId="0" xfId="0" applyAlignment="1" applyFont="1">
      <alignment readingOrder="0" shrinkToFit="0" wrapText="0"/>
    </xf>
    <xf borderId="0" fillId="9" fontId="14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9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7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1" numFmtId="0" xfId="0" applyFont="1"/>
    <xf borderId="1" fillId="0" fontId="17" numFmtId="0" xfId="0" applyAlignment="1" applyBorder="1" applyFont="1">
      <alignment horizontal="left" readingOrder="0" shrinkToFit="0" wrapText="1"/>
    </xf>
    <xf borderId="1" fillId="0" fontId="17" numFmtId="9" xfId="0" applyAlignment="1" applyBorder="1" applyFont="1" applyNumberFormat="1">
      <alignment horizontal="left" readingOrder="0" shrinkToFit="0" wrapText="1"/>
    </xf>
    <xf borderId="1" fillId="0" fontId="17" numFmtId="10" xfId="0" applyAlignment="1" applyBorder="1" applyFont="1" applyNumberForma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9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8" fontId="1" numFmtId="0" xfId="0" applyAlignment="1" applyFont="1">
      <alignment readingOrder="0"/>
    </xf>
    <xf borderId="0" fillId="0" fontId="19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9" fontId="20" numFmtId="0" xfId="0" applyAlignment="1" applyFont="1">
      <alignment readingOrder="0" shrinkToFit="0" vertical="center" wrapText="0"/>
    </xf>
    <xf borderId="0" fillId="11" fontId="3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/>
    </xf>
    <xf borderId="0" fillId="4" fontId="3" numFmtId="0" xfId="0" applyAlignment="1" applyFont="1">
      <alignment readingOrder="0" shrinkToFit="0" vertical="center" wrapText="0"/>
    </xf>
    <xf borderId="0" fillId="4" fontId="24" numFmtId="0" xfId="0" applyAlignment="1" applyFont="1">
      <alignment readingOrder="0" shrinkToFit="0" vertical="center" wrapText="1"/>
    </xf>
    <xf borderId="0" fillId="4" fontId="3" numFmtId="0" xfId="0" applyAlignment="1" applyFont="1">
      <alignment horizontal="left" readingOrder="0" shrinkToFit="0" vertical="center" wrapText="0"/>
    </xf>
    <xf borderId="0" fillId="4" fontId="3" numFmtId="4" xfId="0" applyAlignment="1" applyFont="1" applyNumberFormat="1">
      <alignment readingOrder="0" shrinkToFit="0" vertical="center" wrapText="0"/>
    </xf>
    <xf borderId="0" fillId="0" fontId="25" numFmtId="0" xfId="0" applyAlignment="1" applyFont="1">
      <alignment readingOrder="0"/>
    </xf>
    <xf borderId="0" fillId="4" fontId="26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4" fontId="29" numFmtId="0" xfId="0" applyAlignment="1" applyFont="1">
      <alignment readingOrder="0" shrinkToFit="0" vertical="center" wrapText="0"/>
    </xf>
    <xf borderId="0" fillId="11" fontId="3" numFmtId="0" xfId="0" applyAlignment="1" applyFont="1">
      <alignment readingOrder="0" shrinkToFit="0" vertical="center" wrapText="0"/>
    </xf>
    <xf borderId="0" fillId="11" fontId="30" numFmtId="0" xfId="0" applyAlignment="1" applyFont="1">
      <alignment readingOrder="0" shrinkToFit="0" vertical="center" wrapText="1"/>
    </xf>
    <xf borderId="0" fillId="11" fontId="3" numFmtId="0" xfId="0" applyAlignment="1" applyFont="1">
      <alignment horizontal="left" readingOrder="0" shrinkToFit="0" vertical="center" wrapText="0"/>
    </xf>
    <xf borderId="0" fillId="11" fontId="3" numFmtId="4" xfId="0" applyAlignment="1" applyFont="1" applyNumberForma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11" fontId="3" numFmtId="0" xfId="0" applyAlignment="1" applyFont="1">
      <alignment readingOrder="0" shrinkToFit="0" vertical="center" wrapText="1"/>
    </xf>
    <xf borderId="0" fillId="11" fontId="31" numFmtId="0" xfId="0" applyAlignment="1" applyFont="1">
      <alignment readingOrder="0" shrinkToFit="0" vertical="center" wrapText="0"/>
    </xf>
    <xf borderId="0" fillId="11" fontId="3" numFmtId="0" xfId="0" applyAlignment="1" applyFont="1">
      <alignment shrinkToFit="0" vertical="center" wrapText="1"/>
    </xf>
    <xf borderId="0" fillId="11" fontId="3" numFmtId="0" xfId="0" applyAlignment="1" applyFont="1">
      <alignment horizontal="left" shrinkToFit="0" vertical="center" wrapText="0"/>
    </xf>
    <xf borderId="0" fillId="11" fontId="3" numFmtId="4" xfId="0" applyAlignment="1" applyFont="1" applyNumberFormat="1">
      <alignment shrinkToFit="0" vertical="center" wrapText="0"/>
    </xf>
    <xf borderId="0" fillId="11" fontId="32" numFmtId="0" xfId="0" applyAlignment="1" applyFont="1">
      <alignment readingOrder="0" shrinkToFit="0" vertical="center" wrapText="1"/>
    </xf>
    <xf borderId="0" fillId="11" fontId="33" numFmtId="0" xfId="0" applyAlignment="1" applyFont="1">
      <alignment readingOrder="0" shrinkToFit="0" vertical="center" wrapText="0"/>
    </xf>
    <xf borderId="0" fillId="11" fontId="3" numFmtId="0" xfId="0" applyAlignment="1" applyFont="1">
      <alignment readingOrder="0" shrinkToFit="0" vertical="center" wrapText="0"/>
    </xf>
    <xf borderId="0" fillId="11" fontId="3" numFmtId="0" xfId="0" applyAlignment="1" applyFont="1">
      <alignment readingOrder="0" shrinkToFit="0" vertical="center" wrapText="1"/>
    </xf>
    <xf borderId="0" fillId="11" fontId="3" numFmtId="0" xfId="0" applyAlignment="1" applyFont="1">
      <alignment horizontal="left" readingOrder="0" shrinkToFit="0" vertical="center" wrapText="0"/>
    </xf>
    <xf borderId="0" fillId="11" fontId="3" numFmtId="4" xfId="0" applyAlignment="1" applyFont="1" applyNumberFormat="1">
      <alignment shrinkToFit="0" vertical="center" wrapText="0"/>
    </xf>
    <xf borderId="0" fillId="11" fontId="34" numFmtId="0" xfId="0" applyAlignment="1" applyFont="1">
      <alignment readingOrder="0" shrinkToFit="0" vertical="center" wrapText="1"/>
    </xf>
    <xf borderId="0" fillId="11" fontId="3" numFmtId="4" xfId="0" applyAlignment="1" applyFont="1" applyNumberFormat="1">
      <alignment readingOrder="0" shrinkToFit="0" vertical="center" wrapText="0"/>
    </xf>
    <xf borderId="0" fillId="11" fontId="35" numFmtId="0" xfId="0" applyAlignment="1" applyFont="1">
      <alignment readingOrder="0" shrinkToFit="0" vertical="center" wrapText="0"/>
    </xf>
    <xf borderId="0" fillId="11" fontId="36" numFmtId="0" xfId="0" applyAlignment="1" applyFont="1">
      <alignment readingOrder="0" shrinkToFit="0" vertical="center" wrapText="0"/>
    </xf>
    <xf borderId="0" fillId="11" fontId="37" numFmtId="0" xfId="0" applyAlignment="1" applyFont="1">
      <alignment readingOrder="0" shrinkToFit="0" vertical="center" wrapText="0"/>
    </xf>
    <xf borderId="0" fillId="0" fontId="38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 of plugi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Criteo Dataset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Last Click Attribution Model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Graphs!$B$2:$D$2</c:f>
            </c:strRef>
          </c:cat>
          <c:val>
            <c:numRef>
              <c:f>Graphs!$B$3:$D$3</c:f>
              <c:numCache/>
            </c:numRef>
          </c:val>
        </c:ser>
        <c:ser>
          <c:idx val="1"/>
          <c:order val="1"/>
          <c:tx>
            <c:v>First Click Attribution Model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Graphs!$B$2:$D$2</c:f>
            </c:strRef>
          </c:cat>
          <c:val>
            <c:numRef>
              <c:f>Graphs!$B$4:$D$4</c:f>
              <c:numCache/>
            </c:numRef>
          </c:val>
        </c:ser>
        <c:ser>
          <c:idx val="2"/>
          <c:order val="2"/>
          <c:tx>
            <c:v>Multi Touch Attribution Model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Graphs!$B$2:$D$2</c:f>
            </c:strRef>
          </c:cat>
          <c:val>
            <c:numRef>
              <c:f>Graphs!$B$5:$D$5</c:f>
              <c:numCache/>
            </c:numRef>
          </c:val>
        </c:ser>
        <c:axId val="1160705711"/>
        <c:axId val="1191353921"/>
      </c:bar3DChart>
      <c:catAx>
        <c:axId val="116070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353921"/>
      </c:catAx>
      <c:valAx>
        <c:axId val="1191353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705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Taobao Dataset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Graphs!$A$23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Graphs!$B$23:$D$23</c:f>
              <c:numCache/>
            </c:numRef>
          </c:val>
        </c:ser>
        <c:ser>
          <c:idx val="1"/>
          <c:order val="1"/>
          <c:tx>
            <c:strRef>
              <c:f>Graphs!$A$24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Graphs!$B$24:$D$24</c:f>
              <c:numCache/>
            </c:numRef>
          </c:val>
        </c:ser>
        <c:ser>
          <c:idx val="2"/>
          <c:order val="2"/>
          <c:tx>
            <c:strRef>
              <c:f>Graphs!$A$25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Graphs!$B$25:$D$25</c:f>
              <c:numCache/>
            </c:numRef>
          </c:val>
        </c:ser>
        <c:axId val="820785459"/>
        <c:axId val="1046055874"/>
      </c:bar3DChart>
      <c:catAx>
        <c:axId val="820785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055874"/>
      </c:catAx>
      <c:valAx>
        <c:axId val="1046055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785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Last Click Attribution Model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Graphs!$A$22:$D$22</c:f>
            </c:strRef>
          </c:cat>
          <c:val>
            <c:numRef>
              <c:f>Graphs!$A$23:$D$23</c:f>
              <c:numCache/>
            </c:numRef>
          </c:val>
        </c:ser>
        <c:ser>
          <c:idx val="1"/>
          <c:order val="1"/>
          <c:tx>
            <c:v>First Click Attribution Model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Graphs!$A$22:$D$22</c:f>
            </c:strRef>
          </c:cat>
          <c:val>
            <c:numRef>
              <c:f>Graphs!$A$24:$D$24</c:f>
              <c:numCache/>
            </c:numRef>
          </c:val>
        </c:ser>
        <c:ser>
          <c:idx val="2"/>
          <c:order val="2"/>
          <c:tx>
            <c:v>Multi Touch Attribution Model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Graphs!$A$22:$D$22</c:f>
            </c:strRef>
          </c:cat>
          <c:val>
            <c:numRef>
              <c:f>Graphs!$A$25:$D$25</c:f>
              <c:numCache/>
            </c:numRef>
          </c:val>
        </c:ser>
        <c:axId val="1675569671"/>
        <c:axId val="1776082676"/>
      </c:barChart>
      <c:catAx>
        <c:axId val="1675569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082676"/>
      </c:catAx>
      <c:valAx>
        <c:axId val="1776082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569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Observed Behaviour of Coupon Extensions 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Graphs!$D$58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Graphs!$E$58:$H$58</c:f>
              <c:numCache/>
            </c:numRef>
          </c:val>
        </c:ser>
        <c:ser>
          <c:idx val="1"/>
          <c:order val="1"/>
          <c:tx>
            <c:strRef>
              <c:f>Graphs!$D$59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Graphs!$E$59:$H$59</c:f>
              <c:numCache/>
            </c:numRef>
          </c:val>
        </c:ser>
        <c:ser>
          <c:idx val="2"/>
          <c:order val="2"/>
          <c:tx>
            <c:strRef>
              <c:f>Graphs!$D$60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Graphs!$E$60:$H$60</c:f>
              <c:numCache/>
            </c:numRef>
          </c:val>
        </c:ser>
        <c:ser>
          <c:idx val="3"/>
          <c:order val="3"/>
          <c:tx>
            <c:strRef>
              <c:f>Graphs!$D$61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Graphs!$E$61:$H$61</c:f>
              <c:numCache/>
            </c:numRef>
          </c:val>
        </c:ser>
        <c:ser>
          <c:idx val="4"/>
          <c:order val="4"/>
          <c:tx>
            <c:strRef>
              <c:f>Graphs!$D$62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Graphs!$E$62:$H$62</c:f>
              <c:numCache/>
            </c:numRef>
          </c:val>
        </c:ser>
        <c:ser>
          <c:idx val="5"/>
          <c:order val="5"/>
          <c:tx>
            <c:strRef>
              <c:f>Graphs!$D$63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Graphs!$E$63:$H$63</c:f>
              <c:numCache/>
            </c:numRef>
          </c:val>
        </c:ser>
        <c:ser>
          <c:idx val="6"/>
          <c:order val="6"/>
          <c:tx>
            <c:strRef>
              <c:f>Graphs!$D$64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Graphs!$E$64:$H$64</c:f>
              <c:numCache/>
            </c:numRef>
          </c:val>
        </c:ser>
        <c:ser>
          <c:idx val="7"/>
          <c:order val="7"/>
          <c:tx>
            <c:strRef>
              <c:f>Graphs!$D$65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Graphs!$E$65:$H$65</c:f>
              <c:numCache/>
            </c:numRef>
          </c:val>
        </c:ser>
        <c:ser>
          <c:idx val="8"/>
          <c:order val="8"/>
          <c:tx>
            <c:strRef>
              <c:f>Graphs!$D$66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Graphs!$E$57:$H$57</c:f>
            </c:strRef>
          </c:cat>
          <c:val>
            <c:numRef>
              <c:f>Graphs!$E$66:$H$66</c:f>
              <c:numCache/>
            </c:numRef>
          </c:val>
        </c:ser>
        <c:axId val="1019653243"/>
        <c:axId val="56224166"/>
      </c:barChart>
      <c:catAx>
        <c:axId val="1019653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Browser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24166"/>
      </c:catAx>
      <c:valAx>
        <c:axId val="56224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653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Graphs!$D$58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Graphs!$E$58:$H$58</c:f>
              <c:numCache/>
            </c:numRef>
          </c:val>
        </c:ser>
        <c:ser>
          <c:idx val="1"/>
          <c:order val="1"/>
          <c:tx>
            <c:strRef>
              <c:f>Graphs!$D$59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Graphs!$E$59:$H$59</c:f>
              <c:numCache/>
            </c:numRef>
          </c:val>
        </c:ser>
        <c:ser>
          <c:idx val="2"/>
          <c:order val="2"/>
          <c:tx>
            <c:strRef>
              <c:f>Graphs!$D$60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Graphs!$E$60:$H$60</c:f>
              <c:numCache/>
            </c:numRef>
          </c:val>
        </c:ser>
        <c:ser>
          <c:idx val="3"/>
          <c:order val="3"/>
          <c:tx>
            <c:strRef>
              <c:f>Graphs!$D$61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Graphs!$E$61:$H$61</c:f>
              <c:numCache/>
            </c:numRef>
          </c:val>
        </c:ser>
        <c:ser>
          <c:idx val="4"/>
          <c:order val="4"/>
          <c:tx>
            <c:strRef>
              <c:f>Graphs!$D$62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Graphs!$E$62:$H$62</c:f>
              <c:numCache/>
            </c:numRef>
          </c:val>
        </c:ser>
        <c:ser>
          <c:idx val="5"/>
          <c:order val="5"/>
          <c:tx>
            <c:strRef>
              <c:f>Graphs!$D$63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Graphs!$E$63:$H$63</c:f>
              <c:numCache/>
            </c:numRef>
          </c:val>
        </c:ser>
        <c:ser>
          <c:idx val="6"/>
          <c:order val="6"/>
          <c:tx>
            <c:strRef>
              <c:f>Graphs!$D$64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Graphs!$E$64:$H$64</c:f>
              <c:numCache/>
            </c:numRef>
          </c:val>
        </c:ser>
        <c:ser>
          <c:idx val="7"/>
          <c:order val="7"/>
          <c:tx>
            <c:strRef>
              <c:f>Graphs!$D$65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Graphs!$E$65:$H$65</c:f>
              <c:numCache/>
            </c:numRef>
          </c:val>
        </c:ser>
        <c:ser>
          <c:idx val="8"/>
          <c:order val="8"/>
          <c:tx>
            <c:strRef>
              <c:f>Graphs!$D$66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Graphs!$E$57:$H$57</c:f>
            </c:strRef>
          </c:cat>
          <c:val>
            <c:numRef>
              <c:f>Graphs!$E$66:$H$66</c:f>
              <c:numCache/>
            </c:numRef>
          </c:val>
        </c:ser>
        <c:axId val="187969718"/>
        <c:axId val="53039910"/>
      </c:barChart>
      <c:catAx>
        <c:axId val="187969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39910"/>
      </c:catAx>
      <c:valAx>
        <c:axId val="53039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69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0</xdr:row>
      <xdr:rowOff>57150</xdr:rowOff>
    </xdr:from>
    <xdr:ext cx="69627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104775</xdr:colOff>
      <xdr:row>0</xdr:row>
      <xdr:rowOff>104775</xdr:rowOff>
    </xdr:from>
    <xdr:ext cx="8067675" cy="3638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533400</xdr:colOff>
      <xdr:row>18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1219200</xdr:colOff>
      <xdr:row>26</xdr:row>
      <xdr:rowOff>161925</xdr:rowOff>
    </xdr:from>
    <xdr:ext cx="7286625" cy="45053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2028825</xdr:colOff>
      <xdr:row>98</xdr:row>
      <xdr:rowOff>95250</xdr:rowOff>
    </xdr:from>
    <xdr:ext cx="11239500" cy="69437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5" displayName="Table1" name="Table1" id="1">
  <tableColumns count="6">
    <tableColumn name="Column 1" id="1"/>
    <tableColumn name="Name " id="2"/>
    <tableColumn name="link" id="3"/>
    <tableColumn name="Ratings" id="4"/>
    <tableColumn name="users" id="5"/>
    <tableColumn name="Version Available" id="6"/>
  </tableColumns>
  <tableStyleInfo name="list of plugi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16.nf/" TargetMode="External"/><Relationship Id="rId10" Type="http://schemas.openxmlformats.org/officeDocument/2006/relationships/hyperlink" Target="http://34.picodi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14.na/" TargetMode="External"/><Relationship Id="rId1" Type="http://schemas.openxmlformats.org/officeDocument/2006/relationships/hyperlink" Target="https://www.newegg.com/amd-ryzen-7-5700x3d-ryzen-7-5000-series-vermeer-zen-3-socket-am4/p/N82E16819113812?srsltid=AfmBOopcTB8eTCCNaNUO-eKMt3dKeIBmk0dwsszH-Ec1CUxXlQcHhB31&amp;nm_mc=AFC-RAN-COM&amp;cm_mmc=afc-ran-com-_-Linus+Tech+Tips&amp;utm_medium=affiliate&amp;utm_campaign=afc-ran-com-_-Linus+Tech+Tips&amp;utm_source=afc-Linus+Tech+Tips&amp;AFFID=3641906&amp;AFFNAME=Linus+Tech+Tips&amp;ACRID=1&amp;ASUBID=geniuslink&amp;ASID=https%3A%2F%2Fwww.youtube.com%2F&amp;ranMID=44583&amp;ranEAID=3641906&amp;ranSiteID=odkoVVpgbeM-DLNWREljPq8nYAnuqLUdKg" TargetMode="External"/><Relationship Id="rId2" Type="http://schemas.openxmlformats.org/officeDocument/2006/relationships/hyperlink" Target="https://www.coupert.com/terms?anchor=section8" TargetMode="External"/><Relationship Id="rId3" Type="http://schemas.openxmlformats.org/officeDocument/2006/relationships/hyperlink" Target="http://1.no/" TargetMode="External"/><Relationship Id="rId4" Type="http://schemas.openxmlformats.org/officeDocument/2006/relationships/hyperlink" Target="http://3.na/" TargetMode="External"/><Relationship Id="rId9" Type="http://schemas.openxmlformats.org/officeDocument/2006/relationships/hyperlink" Target="http://14.nf/" TargetMode="External"/><Relationship Id="rId5" Type="http://schemas.openxmlformats.org/officeDocument/2006/relationships/hyperlink" Target="http://14.afc-ran-com-_-couponcabin.com/" TargetMode="External"/><Relationship Id="rId6" Type="http://schemas.openxmlformats.org/officeDocument/2006/relationships/hyperlink" Target="http://14.afc-ran-com-_-couponcabin.com/" TargetMode="External"/><Relationship Id="rId7" Type="http://schemas.openxmlformats.org/officeDocument/2006/relationships/hyperlink" Target="http://afc-couponcabin.com/" TargetMode="External"/><Relationship Id="rId8" Type="http://schemas.openxmlformats.org/officeDocument/2006/relationships/hyperlink" Target="http://www.cashbackeasy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icodi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icodi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tc.gov/business-guidance/resources/disclosures-101-social-media-influencers" TargetMode="External"/><Relationship Id="rId2" Type="http://schemas.openxmlformats.org/officeDocument/2006/relationships/hyperlink" Target="http://34.picodi.com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3.na/" TargetMode="External"/><Relationship Id="rId2" Type="http://schemas.openxmlformats.org/officeDocument/2006/relationships/hyperlink" Target="http://14.nf/" TargetMode="External"/><Relationship Id="rId3" Type="http://schemas.openxmlformats.org/officeDocument/2006/relationships/hyperlink" Target="http://34.picodi.com/" TargetMode="External"/><Relationship Id="rId4" Type="http://schemas.openxmlformats.org/officeDocument/2006/relationships/hyperlink" Target="http://16.nf/" TargetMode="External"/><Relationship Id="rId5" Type="http://schemas.openxmlformats.org/officeDocument/2006/relationships/hyperlink" Target="http://14.na/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pps.apple.com/us/app/coupon2deal/id1582298537?mt=12" TargetMode="External"/><Relationship Id="rId20" Type="http://schemas.openxmlformats.org/officeDocument/2006/relationships/hyperlink" Target="https://www.couponcabin.com/" TargetMode="External"/><Relationship Id="rId42" Type="http://schemas.openxmlformats.org/officeDocument/2006/relationships/hyperlink" Target="http://picodi.com/" TargetMode="External"/><Relationship Id="rId41" Type="http://schemas.openxmlformats.org/officeDocument/2006/relationships/hyperlink" Target="https://apps.apple.com/us/app/rabatta-discounts-prices/id1577071722" TargetMode="External"/><Relationship Id="rId22" Type="http://schemas.openxmlformats.org/officeDocument/2006/relationships/hyperlink" Target="https://fatcoupon.com/welcome" TargetMode="External"/><Relationship Id="rId44" Type="http://schemas.openxmlformats.org/officeDocument/2006/relationships/hyperlink" Target="https://apps.apple.com/us/app/refermate-for-safari/id6480025711?mt=12" TargetMode="External"/><Relationship Id="rId21" Type="http://schemas.openxmlformats.org/officeDocument/2006/relationships/hyperlink" Target="https://simplycodes.com/" TargetMode="External"/><Relationship Id="rId43" Type="http://schemas.openxmlformats.org/officeDocument/2006/relationships/hyperlink" Target="https://apps.apple.com/us/app/picodi-com/id1617077874?mt=12" TargetMode="External"/><Relationship Id="rId24" Type="http://schemas.openxmlformats.org/officeDocument/2006/relationships/hyperlink" Target="https://www.joinmoolah.com/" TargetMode="External"/><Relationship Id="rId46" Type="http://schemas.openxmlformats.org/officeDocument/2006/relationships/drawing" Target="../drawings/drawing8.xml"/><Relationship Id="rId23" Type="http://schemas.openxmlformats.org/officeDocument/2006/relationships/hyperlink" Target="https://askmeoffers.com/" TargetMode="External"/><Relationship Id="rId45" Type="http://schemas.openxmlformats.org/officeDocument/2006/relationships/hyperlink" Target="https://chromewebstore.google.com/detail/mcjkhngabfbkfbhbinmkfngdpnhhbgee?utm_source=item-share-cb" TargetMode="External"/><Relationship Id="rId1" Type="http://schemas.openxmlformats.org/officeDocument/2006/relationships/hyperlink" Target="https://chromewebstore.google.com/detail/honey-automatic-coupons-r/bmnlcjabgnpnenekpadlanbbkooimhnj" TargetMode="External"/><Relationship Id="rId2" Type="http://schemas.openxmlformats.org/officeDocument/2006/relationships/hyperlink" Target="https://capitaloneshopping.com/" TargetMode="External"/><Relationship Id="rId3" Type="http://schemas.openxmlformats.org/officeDocument/2006/relationships/hyperlink" Target="https://www.avast.com/en-us/index" TargetMode="External"/><Relationship Id="rId4" Type="http://schemas.openxmlformats.org/officeDocument/2006/relationships/hyperlink" Target="https://www.avira.com/" TargetMode="External"/><Relationship Id="rId9" Type="http://schemas.openxmlformats.org/officeDocument/2006/relationships/hyperlink" Target="https://smart.couponbirds.com/welcome" TargetMode="External"/><Relationship Id="rId26" Type="http://schemas.openxmlformats.org/officeDocument/2006/relationships/hyperlink" Target="https://couponuts.com/" TargetMode="External"/><Relationship Id="rId48" Type="http://schemas.openxmlformats.org/officeDocument/2006/relationships/table" Target="../tables/table1.xml"/><Relationship Id="rId25" Type="http://schemas.openxmlformats.org/officeDocument/2006/relationships/hyperlink" Target="https://www.totalcoupon.com/" TargetMode="External"/><Relationship Id="rId28" Type="http://schemas.openxmlformats.org/officeDocument/2006/relationships/hyperlink" Target="https://chromewebstore.google.com/detail/haigkjdpfefcedelnkfaapkkgofnokch?utm_source=item-share-cb" TargetMode="External"/><Relationship Id="rId27" Type="http://schemas.openxmlformats.org/officeDocument/2006/relationships/hyperlink" Target="https://www.getshopmail.com/" TargetMode="External"/><Relationship Id="rId5" Type="http://schemas.openxmlformats.org/officeDocument/2006/relationships/hyperlink" Target="https://www.rakuten.com/" TargetMode="External"/><Relationship Id="rId6" Type="http://schemas.openxmlformats.org/officeDocument/2006/relationships/hyperlink" Target="https://www.coupert.com/" TargetMode="External"/><Relationship Id="rId29" Type="http://schemas.openxmlformats.org/officeDocument/2006/relationships/hyperlink" Target="https://chromewebstore.google.com/detail/kindred-shop-n-save/lceichhhobiacakfgcceclahjchbfoee?hl=en-US&amp;utm_source=ext_sidebar" TargetMode="External"/><Relationship Id="rId7" Type="http://schemas.openxmlformats.org/officeDocument/2006/relationships/hyperlink" Target="https://www.karmanow.com/" TargetMode="External"/><Relationship Id="rId8" Type="http://schemas.openxmlformats.org/officeDocument/2006/relationships/hyperlink" Target="https://www.retailmenot.com/" TargetMode="External"/><Relationship Id="rId31" Type="http://schemas.openxmlformats.org/officeDocument/2006/relationships/hyperlink" Target="https://www.today.com/shop" TargetMode="External"/><Relationship Id="rId30" Type="http://schemas.openxmlformats.org/officeDocument/2006/relationships/hyperlink" Target="https://chromewebstore.google.com/detail/student-beans-exclusive-s/pdmhehfogekmpmdoemhabjpaiadagpgp" TargetMode="External"/><Relationship Id="rId11" Type="http://schemas.openxmlformats.org/officeDocument/2006/relationships/hyperlink" Target="https://pie.org/" TargetMode="External"/><Relationship Id="rId33" Type="http://schemas.openxmlformats.org/officeDocument/2006/relationships/hyperlink" Target="https://alicoupons.org/en/new-version/" TargetMode="External"/><Relationship Id="rId10" Type="http://schemas.openxmlformats.org/officeDocument/2006/relationships/hyperlink" Target="https://www.gomino.com/" TargetMode="External"/><Relationship Id="rId32" Type="http://schemas.openxmlformats.org/officeDocument/2006/relationships/hyperlink" Target="https://alitools.io/en" TargetMode="External"/><Relationship Id="rId13" Type="http://schemas.openxmlformats.org/officeDocument/2006/relationships/hyperlink" Target="https://support.norton.com/sp/en/us/home/current/solutions/v20231108183955550" TargetMode="External"/><Relationship Id="rId35" Type="http://schemas.openxmlformats.org/officeDocument/2006/relationships/hyperlink" Target="https://chromewebstore.google.com/detail/hive-coupons-promo-codes/godkpmhfjjbhcgafplpkaobcmknfebeh?hl=en-US&amp;utm_source=ext_sidebar" TargetMode="External"/><Relationship Id="rId12" Type="http://schemas.openxmlformats.org/officeDocument/2006/relationships/hyperlink" Target="https://www.dontpayfull.com/" TargetMode="External"/><Relationship Id="rId34" Type="http://schemas.openxmlformats.org/officeDocument/2006/relationships/hyperlink" Target="https://www.dealdrop.com/" TargetMode="External"/><Relationship Id="rId15" Type="http://schemas.openxmlformats.org/officeDocument/2006/relationships/hyperlink" Target="https://chromewebstore.google.com/detail/cently-automatic-coupons/kegphgaihkjoophpabchkmpaknehfamb" TargetMode="External"/><Relationship Id="rId37" Type="http://schemas.openxmlformats.org/officeDocument/2006/relationships/hyperlink" Target="https://apps.apple.com/us/app/lovedeals-automatic-coupons/id6745160463?mt=12" TargetMode="External"/><Relationship Id="rId14" Type="http://schemas.openxmlformats.org/officeDocument/2006/relationships/hyperlink" Target="https://www.befrugal.com/" TargetMode="External"/><Relationship Id="rId36" Type="http://schemas.openxmlformats.org/officeDocument/2006/relationships/hyperlink" Target="https://wanteeed.com/us/welcome/confirm?extension=true&amp;amp_device_id=d8da411c444c40089c301a078f77676d" TargetMode="External"/><Relationship Id="rId17" Type="http://schemas.openxmlformats.org/officeDocument/2006/relationships/hyperlink" Target="https://app.joko.com/home" TargetMode="External"/><Relationship Id="rId39" Type="http://schemas.openxmlformats.org/officeDocument/2006/relationships/hyperlink" Target="https://apps.apple.com/us/app/caramel/id6741873881" TargetMode="External"/><Relationship Id="rId16" Type="http://schemas.openxmlformats.org/officeDocument/2006/relationships/hyperlink" Target="https://www.priceblink.com/" TargetMode="External"/><Relationship Id="rId38" Type="http://schemas.openxmlformats.org/officeDocument/2006/relationships/hyperlink" Target="https://apps.apple.com/us/app/shopping-spout-coupons-codes/id6744651005?mt=12" TargetMode="External"/><Relationship Id="rId19" Type="http://schemas.openxmlformats.org/officeDocument/2006/relationships/hyperlink" Target="https://www.cnet.com/" TargetMode="External"/><Relationship Id="rId18" Type="http://schemas.openxmlformats.org/officeDocument/2006/relationships/hyperlink" Target="https://www.topcashb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6.88"/>
    <col customWidth="1" min="2" max="2" width="28.25"/>
    <col customWidth="1" min="3" max="3" width="7.75"/>
    <col customWidth="1" min="4" max="4" width="32.25"/>
    <col customWidth="1" min="5" max="5" width="16.63"/>
    <col customWidth="1" min="6" max="6" width="7.13"/>
    <col customWidth="1" min="7" max="7" width="30.25"/>
    <col customWidth="1" min="8" max="8" width="26.75"/>
    <col customWidth="1" min="9" max="9" width="8.25"/>
    <col customWidth="1" min="10" max="10" width="31.38"/>
    <col customWidth="1" min="11" max="11" width="25.0"/>
    <col customWidth="1" min="12" max="12" width="7.38"/>
    <col customWidth="1" min="13" max="14" width="21.25"/>
    <col customWidth="1" min="15" max="15" width="7.63"/>
    <col customWidth="1" min="16" max="16" width="79.5"/>
    <col customWidth="1" min="17" max="18" width="43.63"/>
    <col customWidth="1" min="19" max="19" width="63.0"/>
    <col customWidth="1" min="20" max="21" width="32.63"/>
    <col customWidth="1" min="22" max="22" width="36.0"/>
    <col customWidth="1" min="23" max="23" width="35.38"/>
    <col customWidth="1" min="24" max="24" width="38.13"/>
    <col customWidth="1" min="25" max="25" width="40.75"/>
    <col customWidth="1" min="26" max="26" width="81.63"/>
    <col customWidth="1" min="27" max="27" width="42.25"/>
    <col customWidth="1" min="28" max="28" width="64.63"/>
    <col customWidth="1" min="29" max="31" width="65.0"/>
    <col customWidth="1" min="32" max="32" width="24.88"/>
  </cols>
  <sheetData>
    <row r="1">
      <c r="A1" s="1"/>
      <c r="B1" s="2" t="s">
        <v>0</v>
      </c>
      <c r="Q1" s="3" t="s">
        <v>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F1" s="3" t="s">
        <v>14</v>
      </c>
    </row>
    <row r="2">
      <c r="A2" s="4" t="s">
        <v>15</v>
      </c>
      <c r="B2" s="4" t="s">
        <v>16</v>
      </c>
      <c r="C2" s="5"/>
      <c r="D2" s="5"/>
      <c r="E2" s="4" t="s">
        <v>16</v>
      </c>
      <c r="F2" s="5"/>
      <c r="G2" s="5"/>
      <c r="H2" s="4" t="s">
        <v>16</v>
      </c>
      <c r="I2" s="5"/>
      <c r="J2" s="5"/>
      <c r="K2" s="6" t="s">
        <v>16</v>
      </c>
      <c r="L2" s="5"/>
      <c r="M2" s="5"/>
      <c r="N2" s="6" t="s">
        <v>16</v>
      </c>
      <c r="O2" s="5"/>
      <c r="P2" s="5"/>
    </row>
    <row r="3">
      <c r="A3" s="7" t="s">
        <v>17</v>
      </c>
      <c r="B3" s="7" t="s">
        <v>18</v>
      </c>
      <c r="C3" s="6" t="s">
        <v>19</v>
      </c>
      <c r="D3" s="6" t="s">
        <v>20</v>
      </c>
      <c r="E3" s="7" t="s">
        <v>21</v>
      </c>
      <c r="F3" s="6" t="s">
        <v>19</v>
      </c>
      <c r="G3" s="6" t="s">
        <v>20</v>
      </c>
      <c r="H3" s="7" t="s">
        <v>22</v>
      </c>
      <c r="I3" s="6" t="s">
        <v>19</v>
      </c>
      <c r="J3" s="6" t="s">
        <v>23</v>
      </c>
      <c r="K3" s="8" t="s">
        <v>24</v>
      </c>
      <c r="L3" s="6" t="s">
        <v>19</v>
      </c>
      <c r="M3" s="6" t="s">
        <v>25</v>
      </c>
      <c r="N3" s="9" t="s">
        <v>26</v>
      </c>
      <c r="O3" s="6" t="s">
        <v>19</v>
      </c>
      <c r="P3" s="10" t="s">
        <v>27</v>
      </c>
      <c r="Q3" s="11" t="s">
        <v>28</v>
      </c>
      <c r="R3" s="12" t="s">
        <v>29</v>
      </c>
      <c r="S3" s="12" t="s">
        <v>30</v>
      </c>
      <c r="T3" s="11" t="s">
        <v>31</v>
      </c>
      <c r="U3" s="11" t="s">
        <v>31</v>
      </c>
      <c r="V3" s="11" t="s">
        <v>31</v>
      </c>
      <c r="W3" s="11" t="s">
        <v>32</v>
      </c>
      <c r="X3" s="3" t="s">
        <v>33</v>
      </c>
      <c r="Y3" s="3" t="s">
        <v>33</v>
      </c>
      <c r="Z3" s="3" t="s">
        <v>34</v>
      </c>
      <c r="AA3" s="3" t="s">
        <v>35</v>
      </c>
      <c r="AB3" s="3" t="s">
        <v>36</v>
      </c>
      <c r="AC3" s="3" t="s">
        <v>36</v>
      </c>
      <c r="AF3" s="3" t="s">
        <v>37</v>
      </c>
    </row>
    <row r="4">
      <c r="A4" s="13"/>
      <c r="B4" s="13"/>
      <c r="C4" s="6" t="s">
        <v>38</v>
      </c>
      <c r="D4" s="14" t="s">
        <v>39</v>
      </c>
      <c r="E4" s="13"/>
      <c r="F4" s="6" t="s">
        <v>38</v>
      </c>
      <c r="G4" s="6" t="s">
        <v>20</v>
      </c>
      <c r="H4" s="13"/>
      <c r="I4" s="6" t="s">
        <v>38</v>
      </c>
      <c r="J4" s="14" t="s">
        <v>40</v>
      </c>
      <c r="K4" s="13"/>
      <c r="L4" s="6" t="s">
        <v>41</v>
      </c>
      <c r="M4" s="14" t="s">
        <v>42</v>
      </c>
      <c r="N4" s="13"/>
      <c r="O4" s="6" t="s">
        <v>38</v>
      </c>
      <c r="P4" s="11" t="s">
        <v>43</v>
      </c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>
      <c r="A6" s="7" t="s">
        <v>44</v>
      </c>
      <c r="B6" s="7" t="s">
        <v>18</v>
      </c>
      <c r="C6" s="6" t="s">
        <v>19</v>
      </c>
      <c r="D6" s="6" t="s">
        <v>20</v>
      </c>
      <c r="E6" s="7" t="s">
        <v>21</v>
      </c>
      <c r="F6" s="6" t="s">
        <v>19</v>
      </c>
      <c r="G6" s="6" t="s">
        <v>20</v>
      </c>
      <c r="H6" s="7" t="s">
        <v>22</v>
      </c>
      <c r="I6" s="6" t="s">
        <v>19</v>
      </c>
      <c r="J6" s="6" t="s">
        <v>23</v>
      </c>
      <c r="K6" s="15" t="s">
        <v>24</v>
      </c>
      <c r="L6" s="6" t="s">
        <v>19</v>
      </c>
      <c r="M6" s="6" t="s">
        <v>25</v>
      </c>
      <c r="N6" s="9" t="s">
        <v>26</v>
      </c>
      <c r="O6" s="6" t="s">
        <v>19</v>
      </c>
      <c r="P6" s="10" t="s">
        <v>27</v>
      </c>
      <c r="Q6" s="11" t="s">
        <v>45</v>
      </c>
      <c r="R6" s="16" t="s">
        <v>46</v>
      </c>
      <c r="S6" s="11" t="s">
        <v>31</v>
      </c>
      <c r="T6" s="11" t="s">
        <v>47</v>
      </c>
      <c r="U6" s="11" t="s">
        <v>48</v>
      </c>
      <c r="V6" s="17" t="s">
        <v>49</v>
      </c>
      <c r="W6" s="11" t="s">
        <v>48</v>
      </c>
      <c r="X6" s="3" t="s">
        <v>50</v>
      </c>
      <c r="Y6" s="3" t="s">
        <v>50</v>
      </c>
      <c r="Z6" s="3" t="s">
        <v>34</v>
      </c>
      <c r="AA6" s="3" t="s">
        <v>51</v>
      </c>
      <c r="AB6" s="3" t="s">
        <v>52</v>
      </c>
      <c r="AC6" s="18" t="s">
        <v>52</v>
      </c>
      <c r="AD6" s="19" t="s">
        <v>53</v>
      </c>
      <c r="AE6" s="18"/>
      <c r="AF6" s="3" t="s">
        <v>54</v>
      </c>
    </row>
    <row r="7">
      <c r="A7" s="13"/>
      <c r="B7" s="13"/>
      <c r="C7" s="6" t="s">
        <v>38</v>
      </c>
      <c r="D7" s="14" t="s">
        <v>55</v>
      </c>
      <c r="E7" s="13"/>
      <c r="F7" s="6" t="s">
        <v>38</v>
      </c>
      <c r="G7" s="6" t="s">
        <v>20</v>
      </c>
      <c r="H7" s="13"/>
      <c r="I7" s="6" t="s">
        <v>38</v>
      </c>
      <c r="J7" s="14" t="s">
        <v>55</v>
      </c>
      <c r="K7" s="13"/>
      <c r="L7" s="6" t="s">
        <v>41</v>
      </c>
      <c r="M7" s="14" t="s">
        <v>56</v>
      </c>
      <c r="N7" s="13"/>
      <c r="O7" s="6" t="s">
        <v>38</v>
      </c>
      <c r="P7" s="11" t="s">
        <v>57</v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>
      <c r="A9" s="20" t="s">
        <v>58</v>
      </c>
      <c r="B9" s="7" t="s">
        <v>18</v>
      </c>
      <c r="C9" s="6" t="s">
        <v>19</v>
      </c>
      <c r="D9" s="6" t="s">
        <v>20</v>
      </c>
      <c r="E9" s="7" t="s">
        <v>21</v>
      </c>
      <c r="F9" s="6" t="s">
        <v>19</v>
      </c>
      <c r="G9" s="6" t="s">
        <v>20</v>
      </c>
      <c r="H9" s="7" t="s">
        <v>22</v>
      </c>
      <c r="I9" s="6" t="s">
        <v>19</v>
      </c>
      <c r="J9" s="6" t="s">
        <v>23</v>
      </c>
      <c r="K9" s="15" t="s">
        <v>24</v>
      </c>
      <c r="L9" s="6" t="s">
        <v>19</v>
      </c>
      <c r="M9" s="6" t="s">
        <v>25</v>
      </c>
      <c r="N9" s="9" t="s">
        <v>26</v>
      </c>
      <c r="O9" s="6" t="s">
        <v>19</v>
      </c>
      <c r="P9" s="10" t="s">
        <v>27</v>
      </c>
      <c r="Q9" s="12" t="s">
        <v>30</v>
      </c>
      <c r="R9" s="12" t="s">
        <v>59</v>
      </c>
      <c r="S9" s="12" t="s">
        <v>59</v>
      </c>
      <c r="T9" s="11" t="s">
        <v>60</v>
      </c>
      <c r="U9" s="11" t="s">
        <v>60</v>
      </c>
      <c r="V9" s="17" t="s">
        <v>61</v>
      </c>
      <c r="W9" s="21" t="s">
        <v>62</v>
      </c>
      <c r="X9" s="3" t="s">
        <v>63</v>
      </c>
      <c r="Y9" s="3" t="s">
        <v>63</v>
      </c>
      <c r="Z9" s="3" t="s">
        <v>34</v>
      </c>
      <c r="AA9" s="3" t="s">
        <v>64</v>
      </c>
      <c r="AB9" s="22" t="s">
        <v>65</v>
      </c>
      <c r="AC9" s="3" t="s">
        <v>66</v>
      </c>
      <c r="AF9" s="3" t="s">
        <v>67</v>
      </c>
    </row>
    <row r="10">
      <c r="B10" s="13"/>
      <c r="C10" s="6" t="s">
        <v>38</v>
      </c>
      <c r="D10" s="14" t="s">
        <v>68</v>
      </c>
      <c r="E10" s="13"/>
      <c r="F10" s="6" t="s">
        <v>38</v>
      </c>
      <c r="G10" s="6" t="s">
        <v>20</v>
      </c>
      <c r="H10" s="13"/>
      <c r="I10" s="6" t="s">
        <v>38</v>
      </c>
      <c r="J10" s="14" t="s">
        <v>68</v>
      </c>
      <c r="K10" s="13"/>
      <c r="L10" s="6" t="s">
        <v>41</v>
      </c>
      <c r="M10" s="14" t="s">
        <v>69</v>
      </c>
      <c r="N10" s="13"/>
      <c r="O10" s="6" t="s">
        <v>38</v>
      </c>
      <c r="P10" s="11" t="s">
        <v>70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>
      <c r="A12" s="23" t="s">
        <v>71</v>
      </c>
      <c r="B12" s="7" t="s">
        <v>18</v>
      </c>
      <c r="C12" s="6" t="s">
        <v>19</v>
      </c>
      <c r="D12" s="6" t="s">
        <v>20</v>
      </c>
      <c r="E12" s="7" t="s">
        <v>21</v>
      </c>
      <c r="F12" s="6" t="s">
        <v>19</v>
      </c>
      <c r="G12" s="6" t="s">
        <v>20</v>
      </c>
      <c r="H12" s="7" t="s">
        <v>22</v>
      </c>
      <c r="I12" s="6" t="s">
        <v>19</v>
      </c>
      <c r="J12" s="6" t="s">
        <v>23</v>
      </c>
      <c r="K12" s="15" t="s">
        <v>24</v>
      </c>
      <c r="L12" s="6" t="s">
        <v>19</v>
      </c>
      <c r="M12" s="6" t="s">
        <v>25</v>
      </c>
      <c r="N12" s="9" t="s">
        <v>26</v>
      </c>
      <c r="O12" s="6" t="s">
        <v>19</v>
      </c>
      <c r="P12" s="10" t="s">
        <v>72</v>
      </c>
      <c r="Q12" s="11" t="s">
        <v>73</v>
      </c>
      <c r="R12" s="11" t="s">
        <v>31</v>
      </c>
      <c r="S12" s="11" t="s">
        <v>48</v>
      </c>
      <c r="T12" s="11" t="s">
        <v>74</v>
      </c>
      <c r="U12" s="11" t="s">
        <v>74</v>
      </c>
      <c r="V12" s="17" t="s">
        <v>75</v>
      </c>
      <c r="W12" s="11" t="s">
        <v>76</v>
      </c>
      <c r="X12" s="3" t="s">
        <v>74</v>
      </c>
      <c r="Y12" s="3" t="s">
        <v>74</v>
      </c>
      <c r="Z12" s="3" t="s">
        <v>34</v>
      </c>
      <c r="AA12" s="3" t="s">
        <v>77</v>
      </c>
      <c r="AB12" s="3" t="s">
        <v>78</v>
      </c>
      <c r="AC12" s="19" t="s">
        <v>79</v>
      </c>
      <c r="AD12" s="3" t="s">
        <v>80</v>
      </c>
      <c r="AE12" s="3"/>
      <c r="AF12" s="24">
        <v>5.67</v>
      </c>
    </row>
    <row r="13">
      <c r="A13" s="25" t="s">
        <v>81</v>
      </c>
      <c r="B13" s="13"/>
      <c r="C13" s="6" t="s">
        <v>38</v>
      </c>
      <c r="D13" s="14" t="s">
        <v>82</v>
      </c>
      <c r="E13" s="13"/>
      <c r="F13" s="6" t="s">
        <v>38</v>
      </c>
      <c r="G13" s="6" t="s">
        <v>20</v>
      </c>
      <c r="H13" s="13"/>
      <c r="I13" s="6" t="s">
        <v>38</v>
      </c>
      <c r="J13" s="11" t="s">
        <v>83</v>
      </c>
      <c r="K13" s="13"/>
      <c r="L13" s="6" t="s">
        <v>41</v>
      </c>
      <c r="M13" s="11" t="s">
        <v>84</v>
      </c>
      <c r="N13" s="13"/>
      <c r="O13" s="6" t="s">
        <v>38</v>
      </c>
      <c r="P13" s="11" t="s">
        <v>85</v>
      </c>
    </row>
    <row r="15">
      <c r="A15" s="7" t="s">
        <v>86</v>
      </c>
      <c r="B15" s="7" t="s">
        <v>18</v>
      </c>
      <c r="C15" s="6" t="s">
        <v>19</v>
      </c>
      <c r="D15" s="6" t="s">
        <v>20</v>
      </c>
      <c r="E15" s="7" t="s">
        <v>21</v>
      </c>
      <c r="F15" s="6" t="s">
        <v>19</v>
      </c>
      <c r="G15" s="6" t="s">
        <v>20</v>
      </c>
      <c r="H15" s="7" t="s">
        <v>22</v>
      </c>
      <c r="I15" s="6" t="s">
        <v>19</v>
      </c>
      <c r="J15" s="6" t="s">
        <v>23</v>
      </c>
      <c r="K15" s="15" t="s">
        <v>24</v>
      </c>
      <c r="L15" s="6" t="s">
        <v>19</v>
      </c>
      <c r="M15" s="6" t="s">
        <v>25</v>
      </c>
      <c r="N15" s="9" t="s">
        <v>26</v>
      </c>
      <c r="O15" s="6" t="s">
        <v>19</v>
      </c>
      <c r="P15" s="10" t="s">
        <v>27</v>
      </c>
      <c r="Q15" s="11" t="s">
        <v>87</v>
      </c>
      <c r="R15" s="12" t="s">
        <v>88</v>
      </c>
      <c r="S15" s="12" t="s">
        <v>88</v>
      </c>
      <c r="T15" s="11" t="s">
        <v>89</v>
      </c>
      <c r="U15" s="11" t="s">
        <v>89</v>
      </c>
      <c r="V15" s="21" t="s">
        <v>90</v>
      </c>
      <c r="W15" s="21" t="s">
        <v>91</v>
      </c>
      <c r="X15" s="3" t="s">
        <v>92</v>
      </c>
      <c r="Y15" s="3" t="s">
        <v>92</v>
      </c>
      <c r="Z15" s="3" t="s">
        <v>34</v>
      </c>
      <c r="AA15" s="3" t="s">
        <v>93</v>
      </c>
      <c r="AB15" s="3" t="s">
        <v>94</v>
      </c>
      <c r="AC15" s="3" t="s">
        <v>95</v>
      </c>
      <c r="AD15" s="3" t="s">
        <v>96</v>
      </c>
      <c r="AE15" s="3"/>
      <c r="AF15" s="3" t="s">
        <v>97</v>
      </c>
    </row>
    <row r="16">
      <c r="A16" s="13"/>
      <c r="B16" s="13"/>
      <c r="C16" s="6" t="s">
        <v>38</v>
      </c>
      <c r="D16" s="14" t="s">
        <v>98</v>
      </c>
      <c r="E16" s="13"/>
      <c r="F16" s="6" t="s">
        <v>38</v>
      </c>
      <c r="G16" s="6" t="s">
        <v>20</v>
      </c>
      <c r="H16" s="13"/>
      <c r="I16" s="6" t="s">
        <v>38</v>
      </c>
      <c r="J16" s="14" t="s">
        <v>98</v>
      </c>
      <c r="K16" s="13"/>
      <c r="L16" s="6" t="s">
        <v>41</v>
      </c>
      <c r="M16" s="14" t="s">
        <v>99</v>
      </c>
      <c r="N16" s="13"/>
      <c r="O16" s="6" t="s">
        <v>38</v>
      </c>
      <c r="P16" s="11" t="s">
        <v>100</v>
      </c>
    </row>
    <row r="18">
      <c r="A18" s="23"/>
      <c r="B18" s="23"/>
      <c r="C18" s="6"/>
      <c r="D18" s="6"/>
      <c r="E18" s="23"/>
      <c r="F18" s="6"/>
      <c r="G18" s="6"/>
      <c r="H18" s="23"/>
      <c r="I18" s="6"/>
      <c r="J18" s="6"/>
      <c r="K18" s="26"/>
      <c r="L18" s="6"/>
      <c r="M18" s="6"/>
      <c r="N18" s="25"/>
      <c r="O18" s="6"/>
      <c r="P18" s="10"/>
    </row>
    <row r="19">
      <c r="A19" s="23" t="s">
        <v>101</v>
      </c>
      <c r="B19" s="7" t="s">
        <v>18</v>
      </c>
      <c r="C19" s="6" t="s">
        <v>19</v>
      </c>
      <c r="D19" s="6" t="s">
        <v>20</v>
      </c>
      <c r="E19" s="7" t="s">
        <v>21</v>
      </c>
      <c r="F19" s="6" t="s">
        <v>19</v>
      </c>
      <c r="G19" s="6" t="s">
        <v>20</v>
      </c>
      <c r="H19" s="7" t="s">
        <v>22</v>
      </c>
      <c r="I19" s="6" t="s">
        <v>19</v>
      </c>
      <c r="J19" s="6" t="s">
        <v>23</v>
      </c>
      <c r="K19" s="15" t="s">
        <v>24</v>
      </c>
      <c r="L19" s="6" t="s">
        <v>19</v>
      </c>
      <c r="M19" s="6" t="s">
        <v>25</v>
      </c>
      <c r="N19" s="9" t="s">
        <v>26</v>
      </c>
      <c r="O19" s="6" t="s">
        <v>19</v>
      </c>
      <c r="P19" s="10" t="s">
        <v>72</v>
      </c>
      <c r="Q19" s="11" t="s">
        <v>102</v>
      </c>
      <c r="R19" s="16" t="s">
        <v>103</v>
      </c>
      <c r="S19" s="12" t="s">
        <v>104</v>
      </c>
      <c r="T19" s="3" t="s">
        <v>105</v>
      </c>
      <c r="U19" s="3" t="s">
        <v>105</v>
      </c>
      <c r="V19" s="3" t="s">
        <v>106</v>
      </c>
      <c r="W19" s="3" t="s">
        <v>106</v>
      </c>
      <c r="X19" s="3" t="s">
        <v>107</v>
      </c>
      <c r="Y19" s="3" t="s">
        <v>107</v>
      </c>
      <c r="Z19" s="3" t="s">
        <v>108</v>
      </c>
      <c r="AA19" s="3" t="s">
        <v>109</v>
      </c>
      <c r="AB19" s="3" t="s">
        <v>110</v>
      </c>
      <c r="AC19" s="3" t="s">
        <v>111</v>
      </c>
      <c r="AF19" s="24">
        <v>7.26</v>
      </c>
    </row>
    <row r="20">
      <c r="A20" s="25" t="s">
        <v>81</v>
      </c>
      <c r="B20" s="13"/>
      <c r="C20" s="6" t="s">
        <v>38</v>
      </c>
      <c r="D20" s="14" t="s">
        <v>112</v>
      </c>
      <c r="E20" s="13"/>
      <c r="F20" s="6" t="s">
        <v>38</v>
      </c>
      <c r="G20" s="10" t="s">
        <v>20</v>
      </c>
      <c r="H20" s="13"/>
      <c r="I20" s="6" t="s">
        <v>38</v>
      </c>
      <c r="J20" s="11" t="s">
        <v>112</v>
      </c>
      <c r="K20" s="13"/>
      <c r="L20" s="6" t="s">
        <v>41</v>
      </c>
      <c r="M20" s="11" t="s">
        <v>113</v>
      </c>
      <c r="N20" s="13"/>
      <c r="O20" s="6" t="s">
        <v>38</v>
      </c>
      <c r="P20" s="11" t="s">
        <v>114</v>
      </c>
    </row>
    <row r="22">
      <c r="A22" s="7" t="s">
        <v>115</v>
      </c>
      <c r="B22" s="7" t="s">
        <v>18</v>
      </c>
      <c r="C22" s="6" t="s">
        <v>19</v>
      </c>
      <c r="D22" s="6" t="s">
        <v>20</v>
      </c>
      <c r="E22" s="7" t="s">
        <v>21</v>
      </c>
      <c r="F22" s="6" t="s">
        <v>19</v>
      </c>
      <c r="G22" s="6" t="s">
        <v>20</v>
      </c>
      <c r="H22" s="7" t="s">
        <v>22</v>
      </c>
      <c r="I22" s="6" t="s">
        <v>19</v>
      </c>
      <c r="J22" s="6" t="s">
        <v>23</v>
      </c>
      <c r="K22" s="15" t="s">
        <v>24</v>
      </c>
      <c r="L22" s="6" t="s">
        <v>19</v>
      </c>
      <c r="M22" s="6" t="s">
        <v>25</v>
      </c>
      <c r="N22" s="9" t="s">
        <v>26</v>
      </c>
      <c r="O22" s="6" t="s">
        <v>19</v>
      </c>
      <c r="P22" s="10" t="s">
        <v>27</v>
      </c>
      <c r="Q22" s="11" t="s">
        <v>116</v>
      </c>
      <c r="R22" s="11" t="s">
        <v>47</v>
      </c>
      <c r="S22" s="11" t="s">
        <v>117</v>
      </c>
      <c r="T22" s="3" t="s">
        <v>118</v>
      </c>
      <c r="U22" s="3" t="s">
        <v>118</v>
      </c>
      <c r="V22" s="3" t="s">
        <v>119</v>
      </c>
      <c r="W22" s="3" t="s">
        <v>119</v>
      </c>
      <c r="X22" s="3" t="s">
        <v>120</v>
      </c>
      <c r="Y22" s="3" t="s">
        <v>120</v>
      </c>
      <c r="Z22" s="3" t="s">
        <v>121</v>
      </c>
      <c r="AA22" s="3" t="s">
        <v>122</v>
      </c>
      <c r="AB22" s="18" t="s">
        <v>123</v>
      </c>
      <c r="AC22" s="3" t="s">
        <v>124</v>
      </c>
      <c r="AF22" s="3" t="s">
        <v>125</v>
      </c>
    </row>
    <row r="23">
      <c r="A23" s="13"/>
      <c r="B23" s="13"/>
      <c r="C23" s="6" t="s">
        <v>38</v>
      </c>
      <c r="D23" s="14" t="s">
        <v>126</v>
      </c>
      <c r="E23" s="13"/>
      <c r="F23" s="6" t="s">
        <v>38</v>
      </c>
      <c r="G23" s="6" t="s">
        <v>20</v>
      </c>
      <c r="H23" s="13"/>
      <c r="I23" s="6" t="s">
        <v>38</v>
      </c>
      <c r="J23" s="14" t="s">
        <v>126</v>
      </c>
      <c r="K23" s="13"/>
      <c r="L23" s="6" t="s">
        <v>41</v>
      </c>
      <c r="M23" s="14" t="s">
        <v>127</v>
      </c>
      <c r="N23" s="13"/>
      <c r="O23" s="6" t="s">
        <v>38</v>
      </c>
      <c r="P23" s="11" t="s">
        <v>128</v>
      </c>
    </row>
    <row r="26">
      <c r="A26" s="7" t="s">
        <v>129</v>
      </c>
      <c r="B26" s="7" t="s">
        <v>18</v>
      </c>
      <c r="C26" s="6" t="s">
        <v>19</v>
      </c>
      <c r="D26" s="6" t="s">
        <v>20</v>
      </c>
      <c r="E26" s="7" t="s">
        <v>21</v>
      </c>
      <c r="F26" s="6" t="s">
        <v>19</v>
      </c>
      <c r="G26" s="6" t="s">
        <v>20</v>
      </c>
      <c r="H26" s="7" t="s">
        <v>22</v>
      </c>
      <c r="I26" s="6" t="s">
        <v>19</v>
      </c>
      <c r="J26" s="6" t="s">
        <v>23</v>
      </c>
      <c r="K26" s="15" t="s">
        <v>24</v>
      </c>
      <c r="L26" s="6" t="s">
        <v>19</v>
      </c>
      <c r="M26" s="6" t="s">
        <v>25</v>
      </c>
      <c r="N26" s="9" t="s">
        <v>26</v>
      </c>
      <c r="O26" s="6" t="s">
        <v>19</v>
      </c>
      <c r="P26" s="10" t="s">
        <v>27</v>
      </c>
      <c r="Q26" s="11" t="s">
        <v>130</v>
      </c>
      <c r="R26" s="16" t="s">
        <v>131</v>
      </c>
      <c r="S26" s="12" t="s">
        <v>132</v>
      </c>
      <c r="T26" s="3" t="s">
        <v>133</v>
      </c>
      <c r="U26" s="3" t="s">
        <v>133</v>
      </c>
      <c r="V26" s="3" t="s">
        <v>134</v>
      </c>
      <c r="W26" s="19" t="s">
        <v>135</v>
      </c>
      <c r="X26" s="3" t="s">
        <v>136</v>
      </c>
      <c r="Y26" s="3" t="s">
        <v>136</v>
      </c>
      <c r="Z26" s="3" t="s">
        <v>34</v>
      </c>
      <c r="AA26" s="3" t="s">
        <v>64</v>
      </c>
      <c r="AB26" s="3" t="s">
        <v>137</v>
      </c>
      <c r="AC26" s="3" t="s">
        <v>138</v>
      </c>
      <c r="AF26" s="3" t="s">
        <v>139</v>
      </c>
    </row>
    <row r="27">
      <c r="A27" s="13"/>
      <c r="B27" s="13"/>
      <c r="C27" s="6" t="s">
        <v>38</v>
      </c>
      <c r="D27" s="14" t="s">
        <v>140</v>
      </c>
      <c r="E27" s="13"/>
      <c r="F27" s="6" t="s">
        <v>38</v>
      </c>
      <c r="G27" s="6" t="s">
        <v>20</v>
      </c>
      <c r="H27" s="13"/>
      <c r="I27" s="6" t="s">
        <v>38</v>
      </c>
      <c r="J27" s="14" t="s">
        <v>140</v>
      </c>
      <c r="K27" s="13"/>
      <c r="L27" s="6" t="s">
        <v>41</v>
      </c>
      <c r="M27" s="14" t="s">
        <v>113</v>
      </c>
      <c r="N27" s="13"/>
      <c r="P27" s="11" t="s">
        <v>141</v>
      </c>
    </row>
    <row r="29">
      <c r="A29" s="23" t="s">
        <v>142</v>
      </c>
      <c r="B29" s="7" t="s">
        <v>18</v>
      </c>
      <c r="C29" s="6" t="s">
        <v>19</v>
      </c>
      <c r="D29" s="6" t="s">
        <v>20</v>
      </c>
      <c r="E29" s="7" t="s">
        <v>21</v>
      </c>
      <c r="F29" s="6" t="s">
        <v>19</v>
      </c>
      <c r="G29" s="6" t="s">
        <v>20</v>
      </c>
      <c r="H29" s="7" t="s">
        <v>22</v>
      </c>
      <c r="I29" s="6" t="s">
        <v>19</v>
      </c>
      <c r="J29" s="6" t="s">
        <v>23</v>
      </c>
      <c r="K29" s="15" t="s">
        <v>24</v>
      </c>
      <c r="L29" s="6" t="s">
        <v>19</v>
      </c>
      <c r="M29" s="6" t="s">
        <v>25</v>
      </c>
      <c r="N29" s="9" t="s">
        <v>26</v>
      </c>
      <c r="O29" s="6" t="s">
        <v>19</v>
      </c>
      <c r="P29" s="10" t="s">
        <v>143</v>
      </c>
      <c r="Q29" s="12" t="s">
        <v>59</v>
      </c>
      <c r="R29" s="12" t="s">
        <v>144</v>
      </c>
      <c r="S29" s="12" t="s">
        <v>145</v>
      </c>
      <c r="T29" s="11" t="s">
        <v>146</v>
      </c>
      <c r="U29" s="21" t="s">
        <v>62</v>
      </c>
      <c r="V29" s="3" t="s">
        <v>147</v>
      </c>
      <c r="W29" s="3" t="s">
        <v>148</v>
      </c>
      <c r="X29" s="3" t="s">
        <v>149</v>
      </c>
      <c r="Y29" s="3" t="s">
        <v>149</v>
      </c>
      <c r="Z29" s="3" t="s">
        <v>150</v>
      </c>
      <c r="AA29" s="3" t="s">
        <v>64</v>
      </c>
      <c r="AB29" s="3" t="s">
        <v>151</v>
      </c>
      <c r="AC29" s="3" t="s">
        <v>152</v>
      </c>
      <c r="AF29" s="3" t="s">
        <v>153</v>
      </c>
    </row>
    <row r="30">
      <c r="A30" s="25"/>
      <c r="B30" s="13"/>
      <c r="C30" s="6" t="s">
        <v>38</v>
      </c>
      <c r="D30" s="14" t="s">
        <v>154</v>
      </c>
      <c r="E30" s="13"/>
      <c r="F30" s="6" t="s">
        <v>38</v>
      </c>
      <c r="G30" s="10" t="s">
        <v>20</v>
      </c>
      <c r="H30" s="13"/>
      <c r="I30" s="6" t="s">
        <v>38</v>
      </c>
      <c r="J30" s="14" t="s">
        <v>154</v>
      </c>
      <c r="K30" s="13"/>
      <c r="L30" s="6" t="s">
        <v>41</v>
      </c>
      <c r="M30" s="14" t="s">
        <v>155</v>
      </c>
      <c r="N30" s="13"/>
      <c r="O30" s="6" t="s">
        <v>38</v>
      </c>
      <c r="P30" s="11" t="s">
        <v>156</v>
      </c>
    </row>
    <row r="32">
      <c r="A32" s="7" t="s">
        <v>157</v>
      </c>
      <c r="B32" s="7" t="s">
        <v>18</v>
      </c>
      <c r="C32" s="6" t="s">
        <v>19</v>
      </c>
      <c r="D32" s="6" t="s">
        <v>20</v>
      </c>
      <c r="E32" s="7" t="s">
        <v>21</v>
      </c>
      <c r="F32" s="6" t="s">
        <v>19</v>
      </c>
      <c r="G32" s="6" t="s">
        <v>20</v>
      </c>
      <c r="H32" s="7" t="s">
        <v>22</v>
      </c>
      <c r="I32" s="6" t="s">
        <v>19</v>
      </c>
      <c r="J32" s="6" t="s">
        <v>23</v>
      </c>
      <c r="K32" s="15" t="s">
        <v>24</v>
      </c>
      <c r="L32" s="6" t="s">
        <v>19</v>
      </c>
      <c r="M32" s="6" t="s">
        <v>25</v>
      </c>
      <c r="N32" s="9" t="s">
        <v>26</v>
      </c>
      <c r="O32" s="6" t="s">
        <v>19</v>
      </c>
      <c r="P32" s="10" t="s">
        <v>27</v>
      </c>
      <c r="Q32" s="11" t="s">
        <v>158</v>
      </c>
      <c r="R32" s="16" t="s">
        <v>159</v>
      </c>
      <c r="S32" s="12" t="s">
        <v>160</v>
      </c>
      <c r="T32" s="3" t="s">
        <v>161</v>
      </c>
      <c r="U32" s="3" t="s">
        <v>161</v>
      </c>
      <c r="V32" s="3" t="s">
        <v>162</v>
      </c>
      <c r="W32" s="3" t="s">
        <v>162</v>
      </c>
      <c r="X32" s="3" t="s">
        <v>163</v>
      </c>
      <c r="Y32" s="3" t="s">
        <v>164</v>
      </c>
      <c r="Z32" s="3" t="s">
        <v>34</v>
      </c>
      <c r="AA32" s="3" t="s">
        <v>64</v>
      </c>
      <c r="AB32" s="3" t="s">
        <v>165</v>
      </c>
      <c r="AC32" s="3" t="s">
        <v>166</v>
      </c>
      <c r="AF32" s="3" t="s">
        <v>167</v>
      </c>
    </row>
    <row r="33">
      <c r="A33" s="13"/>
      <c r="B33" s="13"/>
      <c r="C33" s="6" t="s">
        <v>38</v>
      </c>
      <c r="D33" s="14" t="s">
        <v>168</v>
      </c>
      <c r="E33" s="13"/>
      <c r="F33" s="6" t="s">
        <v>38</v>
      </c>
      <c r="G33" s="6" t="s">
        <v>20</v>
      </c>
      <c r="H33" s="13"/>
      <c r="I33" s="6" t="s">
        <v>38</v>
      </c>
      <c r="J33" s="14" t="s">
        <v>168</v>
      </c>
      <c r="K33" s="13"/>
      <c r="L33" s="6" t="s">
        <v>41</v>
      </c>
      <c r="M33" s="14" t="s">
        <v>113</v>
      </c>
      <c r="N33" s="13"/>
      <c r="O33" s="6" t="s">
        <v>38</v>
      </c>
      <c r="P33" s="11" t="s">
        <v>169</v>
      </c>
    </row>
    <row r="35">
      <c r="A35" s="7" t="s">
        <v>170</v>
      </c>
      <c r="B35" s="7" t="s">
        <v>18</v>
      </c>
      <c r="C35" s="6" t="s">
        <v>19</v>
      </c>
      <c r="D35" s="6" t="s">
        <v>20</v>
      </c>
      <c r="E35" s="7" t="s">
        <v>21</v>
      </c>
      <c r="F35" s="6" t="s">
        <v>19</v>
      </c>
      <c r="G35" s="6" t="s">
        <v>20</v>
      </c>
      <c r="H35" s="7" t="s">
        <v>22</v>
      </c>
      <c r="I35" s="6" t="s">
        <v>19</v>
      </c>
      <c r="J35" s="6" t="s">
        <v>23</v>
      </c>
      <c r="K35" s="15" t="s">
        <v>24</v>
      </c>
      <c r="L35" s="6" t="s">
        <v>19</v>
      </c>
      <c r="M35" s="6" t="s">
        <v>25</v>
      </c>
      <c r="N35" s="9" t="s">
        <v>26</v>
      </c>
      <c r="O35" s="6" t="s">
        <v>19</v>
      </c>
      <c r="P35" s="10" t="s">
        <v>27</v>
      </c>
      <c r="Q35" s="11" t="s">
        <v>171</v>
      </c>
      <c r="R35" s="11" t="s">
        <v>76</v>
      </c>
      <c r="S35" s="11" t="s">
        <v>172</v>
      </c>
      <c r="T35" s="11" t="s">
        <v>173</v>
      </c>
      <c r="U35" s="11" t="s">
        <v>146</v>
      </c>
      <c r="V35" s="17" t="s">
        <v>174</v>
      </c>
      <c r="W35" s="11" t="s">
        <v>175</v>
      </c>
      <c r="X35" s="3" t="s">
        <v>176</v>
      </c>
      <c r="Y35" s="3" t="s">
        <v>176</v>
      </c>
      <c r="Z35" s="3" t="s">
        <v>34</v>
      </c>
      <c r="AA35" s="3" t="s">
        <v>177</v>
      </c>
      <c r="AB35" s="3" t="s">
        <v>178</v>
      </c>
      <c r="AC35" s="3" t="s">
        <v>179</v>
      </c>
      <c r="AD35" s="3" t="s">
        <v>180</v>
      </c>
      <c r="AF35" s="3" t="s">
        <v>181</v>
      </c>
    </row>
    <row r="36">
      <c r="A36" s="13"/>
      <c r="B36" s="13"/>
      <c r="C36" s="6" t="s">
        <v>38</v>
      </c>
      <c r="D36" s="14" t="s">
        <v>182</v>
      </c>
      <c r="E36" s="13"/>
      <c r="F36" s="6" t="s">
        <v>38</v>
      </c>
      <c r="G36" s="6" t="s">
        <v>20</v>
      </c>
      <c r="H36" s="13"/>
      <c r="I36" s="6" t="s">
        <v>38</v>
      </c>
      <c r="J36" s="14" t="s">
        <v>183</v>
      </c>
      <c r="K36" s="13"/>
      <c r="L36" s="6" t="s">
        <v>41</v>
      </c>
      <c r="M36" s="14" t="s">
        <v>184</v>
      </c>
      <c r="N36" s="13"/>
      <c r="O36" s="6" t="s">
        <v>38</v>
      </c>
      <c r="P36" s="11" t="s">
        <v>185</v>
      </c>
    </row>
    <row r="38">
      <c r="A38" s="7" t="s">
        <v>186</v>
      </c>
      <c r="B38" s="7" t="s">
        <v>18</v>
      </c>
      <c r="C38" s="6" t="s">
        <v>19</v>
      </c>
      <c r="D38" s="6" t="s">
        <v>20</v>
      </c>
      <c r="E38" s="7" t="s">
        <v>21</v>
      </c>
      <c r="F38" s="6" t="s">
        <v>19</v>
      </c>
      <c r="G38" s="6" t="s">
        <v>20</v>
      </c>
      <c r="H38" s="7" t="s">
        <v>22</v>
      </c>
      <c r="I38" s="6" t="s">
        <v>19</v>
      </c>
      <c r="J38" s="6" t="s">
        <v>23</v>
      </c>
      <c r="K38" s="15" t="s">
        <v>24</v>
      </c>
      <c r="L38" s="6" t="s">
        <v>19</v>
      </c>
      <c r="M38" s="6" t="s">
        <v>25</v>
      </c>
      <c r="N38" s="9" t="s">
        <v>26</v>
      </c>
      <c r="O38" s="6" t="s">
        <v>19</v>
      </c>
      <c r="P38" s="10" t="s">
        <v>27</v>
      </c>
      <c r="Q38" s="11" t="s">
        <v>187</v>
      </c>
      <c r="R38" s="12" t="s">
        <v>188</v>
      </c>
      <c r="S38" s="12" t="s">
        <v>189</v>
      </c>
      <c r="T38" s="11" t="s">
        <v>190</v>
      </c>
      <c r="U38" s="11" t="s">
        <v>173</v>
      </c>
      <c r="V38" s="3" t="s">
        <v>191</v>
      </c>
      <c r="W38" s="3" t="s">
        <v>191</v>
      </c>
      <c r="X38" s="3" t="s">
        <v>192</v>
      </c>
      <c r="Y38" s="3" t="s">
        <v>192</v>
      </c>
      <c r="Z38" s="3" t="s">
        <v>34</v>
      </c>
      <c r="AA38" s="3" t="s">
        <v>64</v>
      </c>
      <c r="AB38" s="3" t="s">
        <v>193</v>
      </c>
      <c r="AC38" s="3" t="s">
        <v>194</v>
      </c>
      <c r="AD38" s="3" t="s">
        <v>195</v>
      </c>
      <c r="AE38" s="3"/>
      <c r="AF38" s="24">
        <v>9.7</v>
      </c>
    </row>
    <row r="39">
      <c r="A39" s="13"/>
      <c r="B39" s="13"/>
      <c r="C39" s="6" t="s">
        <v>38</v>
      </c>
      <c r="D39" s="14" t="s">
        <v>196</v>
      </c>
      <c r="E39" s="13"/>
      <c r="F39" s="6" t="s">
        <v>38</v>
      </c>
      <c r="G39" s="6" t="s">
        <v>20</v>
      </c>
      <c r="H39" s="13"/>
      <c r="I39" s="6" t="s">
        <v>38</v>
      </c>
      <c r="J39" s="14" t="s">
        <v>196</v>
      </c>
      <c r="K39" s="13"/>
      <c r="L39" s="6" t="s">
        <v>41</v>
      </c>
      <c r="M39" s="14" t="s">
        <v>197</v>
      </c>
      <c r="N39" s="13"/>
      <c r="O39" s="6" t="s">
        <v>38</v>
      </c>
      <c r="P39" s="11" t="s">
        <v>198</v>
      </c>
    </row>
    <row r="41">
      <c r="A41" s="7" t="s">
        <v>199</v>
      </c>
      <c r="B41" s="7" t="s">
        <v>18</v>
      </c>
      <c r="C41" s="6" t="s">
        <v>19</v>
      </c>
      <c r="D41" s="6" t="s">
        <v>20</v>
      </c>
      <c r="E41" s="7" t="s">
        <v>21</v>
      </c>
      <c r="F41" s="6" t="s">
        <v>19</v>
      </c>
      <c r="G41" s="6" t="s">
        <v>20</v>
      </c>
      <c r="H41" s="7" t="s">
        <v>22</v>
      </c>
      <c r="I41" s="6" t="s">
        <v>19</v>
      </c>
      <c r="J41" s="6" t="s">
        <v>23</v>
      </c>
      <c r="K41" s="15" t="s">
        <v>24</v>
      </c>
      <c r="L41" s="6" t="s">
        <v>19</v>
      </c>
      <c r="M41" s="6" t="s">
        <v>25</v>
      </c>
      <c r="N41" s="9" t="s">
        <v>26</v>
      </c>
      <c r="O41" s="6" t="s">
        <v>19</v>
      </c>
      <c r="P41" s="10" t="s">
        <v>27</v>
      </c>
      <c r="Q41" s="11" t="s">
        <v>200</v>
      </c>
      <c r="R41" s="16" t="s">
        <v>201</v>
      </c>
      <c r="S41" s="11" t="s">
        <v>202</v>
      </c>
      <c r="T41" s="11" t="s">
        <v>203</v>
      </c>
      <c r="U41" s="21" t="s">
        <v>91</v>
      </c>
      <c r="V41" s="11" t="s">
        <v>45</v>
      </c>
      <c r="W41" s="11" t="s">
        <v>204</v>
      </c>
      <c r="X41" s="3" t="s">
        <v>205</v>
      </c>
      <c r="Y41" s="3" t="s">
        <v>205</v>
      </c>
      <c r="Z41" s="3" t="s">
        <v>206</v>
      </c>
      <c r="AA41" s="3" t="s">
        <v>64</v>
      </c>
      <c r="AB41" s="3" t="s">
        <v>207</v>
      </c>
      <c r="AC41" s="3" t="s">
        <v>208</v>
      </c>
      <c r="AD41" s="3" t="s">
        <v>209</v>
      </c>
      <c r="AE41" s="3"/>
      <c r="AF41" s="24" t="s">
        <v>210</v>
      </c>
    </row>
    <row r="42">
      <c r="A42" s="13"/>
      <c r="B42" s="13"/>
      <c r="C42" s="6" t="s">
        <v>38</v>
      </c>
      <c r="D42" s="14" t="s">
        <v>211</v>
      </c>
      <c r="E42" s="13"/>
      <c r="F42" s="6" t="s">
        <v>38</v>
      </c>
      <c r="G42" s="6" t="s">
        <v>20</v>
      </c>
      <c r="H42" s="13"/>
      <c r="I42" s="6" t="s">
        <v>38</v>
      </c>
      <c r="J42" s="14" t="s">
        <v>211</v>
      </c>
      <c r="K42" s="13"/>
      <c r="L42" s="6" t="s">
        <v>41</v>
      </c>
      <c r="M42" s="14" t="s">
        <v>212</v>
      </c>
      <c r="N42" s="13"/>
      <c r="O42" s="6" t="s">
        <v>38</v>
      </c>
      <c r="P42" s="11" t="s">
        <v>213</v>
      </c>
    </row>
    <row r="44">
      <c r="A44" s="23" t="s">
        <v>214</v>
      </c>
      <c r="B44" s="7" t="s">
        <v>18</v>
      </c>
      <c r="C44" s="6" t="s">
        <v>19</v>
      </c>
      <c r="D44" s="6" t="s">
        <v>20</v>
      </c>
      <c r="E44" s="7" t="s">
        <v>21</v>
      </c>
      <c r="F44" s="6" t="s">
        <v>19</v>
      </c>
      <c r="G44" s="6" t="s">
        <v>20</v>
      </c>
      <c r="H44" s="7" t="s">
        <v>22</v>
      </c>
      <c r="I44" s="6" t="s">
        <v>19</v>
      </c>
      <c r="J44" s="6" t="s">
        <v>23</v>
      </c>
      <c r="K44" s="15" t="s">
        <v>24</v>
      </c>
      <c r="L44" s="6" t="s">
        <v>19</v>
      </c>
      <c r="M44" s="6" t="s">
        <v>25</v>
      </c>
      <c r="N44" s="9" t="s">
        <v>26</v>
      </c>
      <c r="O44" s="6" t="s">
        <v>19</v>
      </c>
      <c r="P44" s="10" t="s">
        <v>72</v>
      </c>
      <c r="Q44" s="11" t="s">
        <v>215</v>
      </c>
      <c r="R44" s="11" t="s">
        <v>172</v>
      </c>
      <c r="S44" s="11" t="s">
        <v>216</v>
      </c>
      <c r="T44" s="11" t="s">
        <v>217</v>
      </c>
      <c r="U44" s="11" t="s">
        <v>190</v>
      </c>
      <c r="V44" s="11" t="s">
        <v>73</v>
      </c>
      <c r="W44" s="11" t="s">
        <v>218</v>
      </c>
      <c r="X44" s="3" t="s">
        <v>219</v>
      </c>
      <c r="Y44" s="3" t="s">
        <v>219</v>
      </c>
      <c r="Z44" s="3" t="s">
        <v>220</v>
      </c>
      <c r="AA44" s="3" t="s">
        <v>221</v>
      </c>
      <c r="AB44" s="3" t="s">
        <v>222</v>
      </c>
      <c r="AC44" s="3" t="s">
        <v>223</v>
      </c>
      <c r="AD44" s="3" t="s">
        <v>224</v>
      </c>
      <c r="AE44" s="3"/>
      <c r="AF44" s="3" t="s">
        <v>225</v>
      </c>
    </row>
    <row r="45">
      <c r="A45" s="25" t="s">
        <v>81</v>
      </c>
      <c r="B45" s="13"/>
      <c r="C45" s="6" t="s">
        <v>38</v>
      </c>
      <c r="D45" s="27" t="s">
        <v>226</v>
      </c>
      <c r="E45" s="13"/>
      <c r="F45" s="6" t="s">
        <v>38</v>
      </c>
      <c r="G45" s="6" t="s">
        <v>20</v>
      </c>
      <c r="H45" s="13"/>
      <c r="I45" s="6" t="s">
        <v>38</v>
      </c>
      <c r="J45" s="28" t="s">
        <v>227</v>
      </c>
      <c r="K45" s="13"/>
      <c r="L45" s="6" t="s">
        <v>41</v>
      </c>
      <c r="M45" s="28" t="s">
        <v>228</v>
      </c>
      <c r="N45" s="13"/>
      <c r="O45" s="6" t="s">
        <v>38</v>
      </c>
      <c r="P45" s="11" t="s">
        <v>229</v>
      </c>
    </row>
    <row r="47">
      <c r="A47" s="23" t="s">
        <v>230</v>
      </c>
      <c r="B47" s="7" t="s">
        <v>18</v>
      </c>
      <c r="C47" s="6" t="s">
        <v>19</v>
      </c>
      <c r="D47" s="6" t="s">
        <v>20</v>
      </c>
      <c r="E47" s="7" t="s">
        <v>21</v>
      </c>
      <c r="F47" s="6" t="s">
        <v>19</v>
      </c>
      <c r="G47" s="6" t="s">
        <v>20</v>
      </c>
      <c r="H47" s="7" t="s">
        <v>22</v>
      </c>
      <c r="I47" s="6" t="s">
        <v>19</v>
      </c>
      <c r="J47" s="6" t="s">
        <v>23</v>
      </c>
      <c r="K47" s="15" t="s">
        <v>24</v>
      </c>
      <c r="L47" s="6" t="s">
        <v>19</v>
      </c>
      <c r="M47" s="6" t="s">
        <v>25</v>
      </c>
      <c r="N47" s="9" t="s">
        <v>26</v>
      </c>
      <c r="O47" s="6" t="s">
        <v>19</v>
      </c>
      <c r="P47" s="10" t="s">
        <v>72</v>
      </c>
      <c r="Q47" s="11" t="s">
        <v>231</v>
      </c>
      <c r="R47" s="11" t="s">
        <v>202</v>
      </c>
      <c r="S47" s="11" t="s">
        <v>232</v>
      </c>
      <c r="T47" s="11" t="s">
        <v>233</v>
      </c>
      <c r="U47" s="11" t="s">
        <v>203</v>
      </c>
      <c r="V47" s="17" t="s">
        <v>234</v>
      </c>
      <c r="W47" s="11" t="s">
        <v>130</v>
      </c>
      <c r="X47" s="3" t="s">
        <v>235</v>
      </c>
      <c r="Y47" s="3" t="s">
        <v>235</v>
      </c>
      <c r="Z47" s="3" t="s">
        <v>220</v>
      </c>
      <c r="AA47" s="3" t="s">
        <v>177</v>
      </c>
      <c r="AB47" s="3" t="s">
        <v>236</v>
      </c>
      <c r="AC47" s="3" t="s">
        <v>237</v>
      </c>
      <c r="AD47" s="3" t="s">
        <v>238</v>
      </c>
      <c r="AE47" s="3"/>
      <c r="AF47" s="3" t="s">
        <v>239</v>
      </c>
    </row>
    <row r="48">
      <c r="A48" s="25"/>
      <c r="B48" s="13"/>
      <c r="C48" s="6" t="s">
        <v>38</v>
      </c>
      <c r="D48" s="29" t="s">
        <v>240</v>
      </c>
      <c r="E48" s="13"/>
      <c r="F48" s="6" t="s">
        <v>38</v>
      </c>
      <c r="G48" s="6" t="s">
        <v>20</v>
      </c>
      <c r="H48" s="13"/>
      <c r="I48" s="6" t="s">
        <v>38</v>
      </c>
      <c r="J48" s="30" t="s">
        <v>241</v>
      </c>
      <c r="K48" s="13"/>
      <c r="L48" s="6" t="s">
        <v>41</v>
      </c>
      <c r="M48" s="30" t="s">
        <v>242</v>
      </c>
      <c r="N48" s="13"/>
      <c r="O48" s="6" t="s">
        <v>38</v>
      </c>
      <c r="P48" s="11" t="s">
        <v>243</v>
      </c>
    </row>
    <row r="50">
      <c r="A50" s="23" t="s">
        <v>244</v>
      </c>
      <c r="B50" s="7" t="s">
        <v>18</v>
      </c>
      <c r="C50" s="6" t="s">
        <v>19</v>
      </c>
      <c r="D50" s="6" t="s">
        <v>20</v>
      </c>
      <c r="E50" s="7" t="s">
        <v>21</v>
      </c>
      <c r="F50" s="6" t="s">
        <v>19</v>
      </c>
      <c r="G50" s="6" t="s">
        <v>20</v>
      </c>
      <c r="H50" s="7" t="s">
        <v>22</v>
      </c>
      <c r="I50" s="6" t="s">
        <v>19</v>
      </c>
      <c r="J50" s="6" t="s">
        <v>23</v>
      </c>
      <c r="K50" s="15" t="s">
        <v>24</v>
      </c>
      <c r="L50" s="6" t="s">
        <v>19</v>
      </c>
      <c r="M50" s="6" t="s">
        <v>25</v>
      </c>
      <c r="N50" s="9" t="s">
        <v>26</v>
      </c>
      <c r="O50" s="6" t="s">
        <v>19</v>
      </c>
      <c r="P50" s="10" t="s">
        <v>72</v>
      </c>
      <c r="Q50" s="11" t="s">
        <v>245</v>
      </c>
      <c r="R50" s="3" t="s">
        <v>246</v>
      </c>
      <c r="S50" s="3" t="s">
        <v>247</v>
      </c>
      <c r="T50" s="3" t="s">
        <v>247</v>
      </c>
      <c r="U50" s="3" t="s">
        <v>247</v>
      </c>
      <c r="V50" s="3" t="s">
        <v>248</v>
      </c>
      <c r="W50" s="3" t="s">
        <v>248</v>
      </c>
      <c r="X50" s="3" t="s">
        <v>249</v>
      </c>
      <c r="Y50" s="3" t="s">
        <v>250</v>
      </c>
      <c r="Z50" s="3" t="s">
        <v>251</v>
      </c>
      <c r="AA50" s="3" t="s">
        <v>252</v>
      </c>
      <c r="AB50" s="3" t="s">
        <v>253</v>
      </c>
      <c r="AC50" s="3" t="s">
        <v>254</v>
      </c>
      <c r="AF50" s="24">
        <v>14.19</v>
      </c>
    </row>
    <row r="51">
      <c r="A51" s="25"/>
      <c r="B51" s="13"/>
      <c r="C51" s="6" t="s">
        <v>38</v>
      </c>
      <c r="D51" s="29" t="s">
        <v>255</v>
      </c>
      <c r="E51" s="13"/>
      <c r="F51" s="6" t="s">
        <v>38</v>
      </c>
      <c r="G51" s="6" t="s">
        <v>20</v>
      </c>
      <c r="H51" s="13"/>
      <c r="I51" s="6" t="s">
        <v>38</v>
      </c>
      <c r="J51" s="30" t="s">
        <v>256</v>
      </c>
      <c r="K51" s="13"/>
      <c r="L51" s="6" t="s">
        <v>41</v>
      </c>
      <c r="M51" s="30" t="s">
        <v>257</v>
      </c>
      <c r="N51" s="13"/>
      <c r="O51" s="6" t="s">
        <v>38</v>
      </c>
      <c r="P51" s="11" t="s">
        <v>258</v>
      </c>
    </row>
    <row r="53">
      <c r="A53" s="23" t="s">
        <v>259</v>
      </c>
      <c r="B53" s="7" t="s">
        <v>18</v>
      </c>
      <c r="C53" s="6" t="s">
        <v>19</v>
      </c>
      <c r="D53" s="6" t="s">
        <v>20</v>
      </c>
      <c r="E53" s="7" t="s">
        <v>21</v>
      </c>
      <c r="F53" s="6" t="s">
        <v>19</v>
      </c>
      <c r="G53" s="6" t="s">
        <v>20</v>
      </c>
      <c r="H53" s="7" t="s">
        <v>22</v>
      </c>
      <c r="I53" s="6" t="s">
        <v>19</v>
      </c>
      <c r="J53" s="6" t="s">
        <v>23</v>
      </c>
      <c r="K53" s="15" t="s">
        <v>24</v>
      </c>
      <c r="L53" s="6" t="s">
        <v>19</v>
      </c>
      <c r="M53" s="6" t="s">
        <v>25</v>
      </c>
      <c r="N53" s="9" t="s">
        <v>26</v>
      </c>
      <c r="O53" s="6" t="s">
        <v>19</v>
      </c>
      <c r="P53" s="10" t="s">
        <v>72</v>
      </c>
      <c r="Q53" s="11" t="s">
        <v>260</v>
      </c>
      <c r="R53" s="16" t="s">
        <v>261</v>
      </c>
      <c r="S53" s="12" t="s">
        <v>262</v>
      </c>
      <c r="T53" s="3" t="s">
        <v>263</v>
      </c>
      <c r="U53" s="3" t="s">
        <v>263</v>
      </c>
      <c r="V53" s="3" t="s">
        <v>264</v>
      </c>
      <c r="W53" s="3" t="s">
        <v>265</v>
      </c>
      <c r="X53" s="3" t="s">
        <v>266</v>
      </c>
      <c r="Y53" s="3" t="s">
        <v>267</v>
      </c>
      <c r="Z53" s="3" t="s">
        <v>268</v>
      </c>
      <c r="AA53" s="3" t="s">
        <v>122</v>
      </c>
      <c r="AB53" s="3" t="s">
        <v>269</v>
      </c>
      <c r="AC53" s="3" t="s">
        <v>270</v>
      </c>
      <c r="AF53" s="3" t="s">
        <v>139</v>
      </c>
    </row>
    <row r="54">
      <c r="A54" s="25"/>
      <c r="B54" s="13"/>
      <c r="C54" s="6" t="s">
        <v>38</v>
      </c>
      <c r="D54" s="29" t="s">
        <v>271</v>
      </c>
      <c r="E54" s="13"/>
      <c r="F54" s="6" t="s">
        <v>38</v>
      </c>
      <c r="G54" s="6" t="s">
        <v>20</v>
      </c>
      <c r="H54" s="13"/>
      <c r="I54" s="6" t="s">
        <v>38</v>
      </c>
      <c r="J54" s="30" t="s">
        <v>272</v>
      </c>
      <c r="K54" s="13"/>
      <c r="L54" s="6" t="s">
        <v>41</v>
      </c>
      <c r="M54" s="30" t="s">
        <v>113</v>
      </c>
      <c r="N54" s="13"/>
      <c r="O54" s="6" t="s">
        <v>38</v>
      </c>
      <c r="P54" s="11" t="s">
        <v>273</v>
      </c>
    </row>
    <row r="56">
      <c r="A56" s="23" t="s">
        <v>274</v>
      </c>
      <c r="B56" s="7" t="s">
        <v>18</v>
      </c>
      <c r="C56" s="6" t="s">
        <v>19</v>
      </c>
      <c r="D56" s="6" t="s">
        <v>20</v>
      </c>
      <c r="E56" s="7" t="s">
        <v>21</v>
      </c>
      <c r="F56" s="6" t="s">
        <v>19</v>
      </c>
      <c r="G56" s="6" t="s">
        <v>20</v>
      </c>
      <c r="H56" s="7" t="s">
        <v>22</v>
      </c>
      <c r="I56" s="6" t="s">
        <v>19</v>
      </c>
      <c r="J56" s="6" t="s">
        <v>23</v>
      </c>
      <c r="K56" s="15" t="s">
        <v>24</v>
      </c>
      <c r="L56" s="6" t="s">
        <v>19</v>
      </c>
      <c r="M56" s="6" t="s">
        <v>25</v>
      </c>
      <c r="N56" s="9" t="s">
        <v>26</v>
      </c>
      <c r="O56" s="6" t="s">
        <v>19</v>
      </c>
      <c r="P56" s="10" t="s">
        <v>72</v>
      </c>
      <c r="Q56" s="11" t="s">
        <v>275</v>
      </c>
      <c r="R56" s="12" t="s">
        <v>276</v>
      </c>
      <c r="S56" s="12" t="s">
        <v>277</v>
      </c>
      <c r="T56" s="11" t="s">
        <v>278</v>
      </c>
      <c r="U56" s="11" t="s">
        <v>217</v>
      </c>
      <c r="V56" s="11" t="s">
        <v>175</v>
      </c>
      <c r="W56" s="11" t="s">
        <v>279</v>
      </c>
      <c r="X56" s="3" t="s">
        <v>280</v>
      </c>
      <c r="Y56" s="21" t="s">
        <v>281</v>
      </c>
      <c r="Z56" s="3" t="s">
        <v>282</v>
      </c>
      <c r="AA56" s="3" t="s">
        <v>64</v>
      </c>
      <c r="AB56" s="3" t="s">
        <v>283</v>
      </c>
      <c r="AC56" s="31" t="s">
        <v>284</v>
      </c>
      <c r="AD56" s="3" t="s">
        <v>285</v>
      </c>
      <c r="AE56" s="3"/>
      <c r="AF56" s="3" t="s">
        <v>286</v>
      </c>
    </row>
    <row r="57">
      <c r="A57" s="25"/>
      <c r="B57" s="13"/>
      <c r="C57" s="6" t="s">
        <v>38</v>
      </c>
      <c r="D57" s="29" t="s">
        <v>287</v>
      </c>
      <c r="E57" s="13"/>
      <c r="F57" s="6" t="s">
        <v>38</v>
      </c>
      <c r="G57" s="6" t="s">
        <v>20</v>
      </c>
      <c r="H57" s="13"/>
      <c r="I57" s="6" t="s">
        <v>38</v>
      </c>
      <c r="J57" s="30" t="s">
        <v>287</v>
      </c>
      <c r="K57" s="13"/>
      <c r="L57" s="6" t="s">
        <v>41</v>
      </c>
      <c r="M57" s="30" t="s">
        <v>288</v>
      </c>
      <c r="N57" s="13"/>
      <c r="O57" s="6" t="s">
        <v>38</v>
      </c>
      <c r="P57" s="11" t="s">
        <v>289</v>
      </c>
      <c r="AF57" s="3"/>
    </row>
    <row r="58">
      <c r="AF58" s="3"/>
    </row>
    <row r="59">
      <c r="A59" s="23" t="s">
        <v>290</v>
      </c>
      <c r="B59" s="7" t="s">
        <v>18</v>
      </c>
      <c r="C59" s="6" t="s">
        <v>19</v>
      </c>
      <c r="D59" s="6" t="s">
        <v>20</v>
      </c>
      <c r="E59" s="7" t="s">
        <v>21</v>
      </c>
      <c r="F59" s="6" t="s">
        <v>19</v>
      </c>
      <c r="G59" s="6" t="s">
        <v>20</v>
      </c>
      <c r="H59" s="7" t="s">
        <v>22</v>
      </c>
      <c r="I59" s="6" t="s">
        <v>19</v>
      </c>
      <c r="J59" s="6" t="s">
        <v>23</v>
      </c>
      <c r="K59" s="15" t="s">
        <v>24</v>
      </c>
      <c r="L59" s="6" t="s">
        <v>19</v>
      </c>
      <c r="M59" s="6" t="s">
        <v>25</v>
      </c>
      <c r="N59" s="9" t="s">
        <v>26</v>
      </c>
      <c r="O59" s="6" t="s">
        <v>19</v>
      </c>
      <c r="P59" s="10" t="s">
        <v>72</v>
      </c>
      <c r="Q59" s="16" t="s">
        <v>291</v>
      </c>
      <c r="R59" s="16" t="s">
        <v>292</v>
      </c>
      <c r="S59" s="11" t="s">
        <v>293</v>
      </c>
      <c r="T59" s="3" t="s">
        <v>294</v>
      </c>
      <c r="U59" s="3" t="s">
        <v>294</v>
      </c>
      <c r="V59" s="17" t="s">
        <v>295</v>
      </c>
      <c r="W59" s="11" t="s">
        <v>296</v>
      </c>
      <c r="X59" s="3" t="s">
        <v>297</v>
      </c>
      <c r="Y59" s="3" t="s">
        <v>59</v>
      </c>
      <c r="Z59" s="3" t="s">
        <v>298</v>
      </c>
      <c r="AA59" s="3" t="s">
        <v>34</v>
      </c>
      <c r="AB59" s="3" t="s">
        <v>299</v>
      </c>
      <c r="AC59" s="3" t="s">
        <v>300</v>
      </c>
      <c r="AD59" s="3" t="s">
        <v>301</v>
      </c>
      <c r="AE59" s="3"/>
      <c r="AF59" s="3" t="s">
        <v>302</v>
      </c>
    </row>
    <row r="60">
      <c r="A60" s="25"/>
      <c r="B60" s="13"/>
      <c r="C60" s="6" t="s">
        <v>38</v>
      </c>
      <c r="D60" s="29" t="s">
        <v>303</v>
      </c>
      <c r="E60" s="13"/>
      <c r="F60" s="6" t="s">
        <v>38</v>
      </c>
      <c r="G60" s="6" t="s">
        <v>20</v>
      </c>
      <c r="H60" s="13"/>
      <c r="I60" s="6" t="s">
        <v>38</v>
      </c>
      <c r="J60" s="30" t="s">
        <v>303</v>
      </c>
      <c r="K60" s="13"/>
      <c r="L60" s="6" t="s">
        <v>41</v>
      </c>
      <c r="M60" s="30" t="s">
        <v>155</v>
      </c>
      <c r="N60" s="13"/>
      <c r="O60" s="6" t="s">
        <v>38</v>
      </c>
      <c r="P60" s="11" t="s">
        <v>304</v>
      </c>
      <c r="AF60" s="3"/>
    </row>
    <row r="61">
      <c r="A61" s="23"/>
      <c r="B61" s="23"/>
      <c r="C61" s="6"/>
      <c r="D61" s="6"/>
      <c r="E61" s="23"/>
      <c r="F61" s="6"/>
      <c r="G61" s="6"/>
      <c r="H61" s="23"/>
      <c r="I61" s="6"/>
      <c r="J61" s="6"/>
      <c r="K61" s="26"/>
      <c r="L61" s="6"/>
      <c r="M61" s="6"/>
      <c r="N61" s="25"/>
      <c r="O61" s="6"/>
      <c r="P61" s="10"/>
      <c r="Q61" s="32"/>
      <c r="R61" s="32"/>
      <c r="S61" s="32"/>
      <c r="T61" s="3"/>
      <c r="U61" s="3"/>
    </row>
    <row r="62">
      <c r="A62" s="23" t="s">
        <v>305</v>
      </c>
      <c r="B62" s="7" t="s">
        <v>18</v>
      </c>
      <c r="C62" s="6" t="s">
        <v>19</v>
      </c>
      <c r="D62" s="6" t="s">
        <v>20</v>
      </c>
      <c r="E62" s="7" t="s">
        <v>21</v>
      </c>
      <c r="F62" s="6" t="s">
        <v>19</v>
      </c>
      <c r="G62" s="6" t="s">
        <v>20</v>
      </c>
      <c r="H62" s="7" t="s">
        <v>22</v>
      </c>
      <c r="I62" s="6" t="s">
        <v>19</v>
      </c>
      <c r="J62" s="6" t="s">
        <v>23</v>
      </c>
      <c r="K62" s="15" t="s">
        <v>24</v>
      </c>
      <c r="L62" s="6" t="s">
        <v>19</v>
      </c>
      <c r="M62" s="6" t="s">
        <v>25</v>
      </c>
      <c r="N62" s="9" t="s">
        <v>26</v>
      </c>
      <c r="O62" s="6" t="s">
        <v>19</v>
      </c>
      <c r="P62" s="10" t="s">
        <v>72</v>
      </c>
      <c r="Q62" s="11" t="s">
        <v>306</v>
      </c>
      <c r="R62" s="16" t="s">
        <v>307</v>
      </c>
      <c r="S62" s="12" t="s">
        <v>308</v>
      </c>
      <c r="T62" s="3" t="s">
        <v>309</v>
      </c>
      <c r="U62" s="3" t="s">
        <v>309</v>
      </c>
      <c r="V62" s="3" t="s">
        <v>310</v>
      </c>
      <c r="W62" s="3" t="s">
        <v>310</v>
      </c>
      <c r="X62" s="3" t="s">
        <v>311</v>
      </c>
      <c r="Y62" s="3" t="s">
        <v>312</v>
      </c>
      <c r="Z62" s="3" t="s">
        <v>313</v>
      </c>
      <c r="AA62" s="3" t="s">
        <v>314</v>
      </c>
      <c r="AB62" s="3" t="s">
        <v>315</v>
      </c>
      <c r="AC62" s="3" t="s">
        <v>316</v>
      </c>
      <c r="AD62" s="3" t="s">
        <v>317</v>
      </c>
      <c r="AE62" s="3"/>
      <c r="AF62" s="3" t="s">
        <v>318</v>
      </c>
    </row>
    <row r="63">
      <c r="A63" s="25"/>
      <c r="B63" s="13"/>
      <c r="C63" s="6" t="s">
        <v>38</v>
      </c>
      <c r="D63" s="29" t="s">
        <v>319</v>
      </c>
      <c r="E63" s="13"/>
      <c r="F63" s="6" t="s">
        <v>38</v>
      </c>
      <c r="G63" s="6" t="s">
        <v>20</v>
      </c>
      <c r="H63" s="13"/>
      <c r="I63" s="6" t="s">
        <v>38</v>
      </c>
      <c r="J63" s="30" t="s">
        <v>320</v>
      </c>
      <c r="K63" s="13"/>
      <c r="L63" s="6" t="s">
        <v>41</v>
      </c>
      <c r="M63" s="30" t="s">
        <v>321</v>
      </c>
      <c r="N63" s="13"/>
      <c r="O63" s="6" t="s">
        <v>38</v>
      </c>
      <c r="P63" s="11" t="s">
        <v>322</v>
      </c>
      <c r="Q63" s="32"/>
      <c r="R63" s="32"/>
      <c r="S63" s="32"/>
      <c r="T63" s="3"/>
      <c r="U63" s="3"/>
    </row>
    <row r="64">
      <c r="A64" s="23"/>
      <c r="B64" s="23"/>
      <c r="C64" s="6"/>
      <c r="D64" s="6"/>
      <c r="E64" s="23"/>
      <c r="F64" s="6"/>
      <c r="G64" s="6"/>
      <c r="H64" s="23"/>
      <c r="I64" s="6"/>
      <c r="J64" s="6"/>
      <c r="K64" s="26"/>
      <c r="L64" s="6"/>
      <c r="M64" s="6"/>
      <c r="N64" s="25"/>
      <c r="O64" s="6"/>
      <c r="P64" s="10"/>
      <c r="Q64" s="32"/>
      <c r="R64" s="32"/>
      <c r="S64" s="32"/>
      <c r="T64" s="3"/>
      <c r="U64" s="3"/>
    </row>
    <row r="65">
      <c r="A65" s="7" t="s">
        <v>323</v>
      </c>
      <c r="B65" s="7" t="s">
        <v>18</v>
      </c>
      <c r="C65" s="6" t="s">
        <v>19</v>
      </c>
      <c r="D65" s="6" t="s">
        <v>20</v>
      </c>
      <c r="E65" s="7" t="s">
        <v>21</v>
      </c>
      <c r="F65" s="6" t="s">
        <v>19</v>
      </c>
      <c r="G65" s="6" t="s">
        <v>20</v>
      </c>
      <c r="H65" s="7" t="s">
        <v>22</v>
      </c>
      <c r="I65" s="6" t="s">
        <v>19</v>
      </c>
      <c r="J65" s="6" t="s">
        <v>23</v>
      </c>
      <c r="K65" s="15" t="s">
        <v>24</v>
      </c>
      <c r="L65" s="6" t="s">
        <v>19</v>
      </c>
      <c r="M65" s="6" t="s">
        <v>25</v>
      </c>
      <c r="N65" s="9" t="s">
        <v>26</v>
      </c>
      <c r="O65" s="6" t="s">
        <v>19</v>
      </c>
      <c r="P65" s="10" t="s">
        <v>27</v>
      </c>
      <c r="Q65" s="12" t="s">
        <v>88</v>
      </c>
      <c r="R65" s="16" t="s">
        <v>324</v>
      </c>
      <c r="S65" s="12" t="s">
        <v>325</v>
      </c>
      <c r="T65" s="17" t="s">
        <v>30</v>
      </c>
      <c r="U65" s="17" t="s">
        <v>88</v>
      </c>
      <c r="V65" s="21" t="s">
        <v>326</v>
      </c>
      <c r="W65" s="21" t="s">
        <v>327</v>
      </c>
      <c r="X65" s="3" t="s">
        <v>328</v>
      </c>
      <c r="Y65" s="3" t="s">
        <v>329</v>
      </c>
      <c r="Z65" s="3" t="s">
        <v>330</v>
      </c>
      <c r="AA65" s="3" t="s">
        <v>64</v>
      </c>
      <c r="AB65" s="3" t="s">
        <v>331</v>
      </c>
      <c r="AC65" s="3" t="s">
        <v>332</v>
      </c>
      <c r="AF65" s="3" t="s">
        <v>333</v>
      </c>
    </row>
    <row r="66">
      <c r="A66" s="13"/>
      <c r="B66" s="13"/>
      <c r="C66" s="6" t="s">
        <v>38</v>
      </c>
      <c r="D66" s="14" t="s">
        <v>334</v>
      </c>
      <c r="E66" s="13"/>
      <c r="F66" s="6" t="s">
        <v>38</v>
      </c>
      <c r="G66" s="6" t="s">
        <v>20</v>
      </c>
      <c r="H66" s="13"/>
      <c r="I66" s="6" t="s">
        <v>38</v>
      </c>
      <c r="J66" s="6" t="s">
        <v>23</v>
      </c>
      <c r="K66" s="13"/>
      <c r="L66" s="6" t="s">
        <v>41</v>
      </c>
      <c r="M66" s="6" t="s">
        <v>335</v>
      </c>
      <c r="N66" s="13"/>
      <c r="O66" s="6" t="s">
        <v>38</v>
      </c>
      <c r="P66" s="11" t="s">
        <v>336</v>
      </c>
    </row>
    <row r="68">
      <c r="A68" s="23" t="s">
        <v>337</v>
      </c>
      <c r="B68" s="7" t="s">
        <v>18</v>
      </c>
      <c r="C68" s="6" t="s">
        <v>19</v>
      </c>
      <c r="D68" s="6" t="s">
        <v>20</v>
      </c>
      <c r="E68" s="7" t="s">
        <v>21</v>
      </c>
      <c r="F68" s="6" t="s">
        <v>19</v>
      </c>
      <c r="G68" s="6" t="s">
        <v>20</v>
      </c>
      <c r="H68" s="7" t="s">
        <v>22</v>
      </c>
      <c r="I68" s="6" t="s">
        <v>19</v>
      </c>
      <c r="J68" s="6" t="s">
        <v>23</v>
      </c>
      <c r="K68" s="15" t="s">
        <v>24</v>
      </c>
      <c r="L68" s="6" t="s">
        <v>19</v>
      </c>
      <c r="M68" s="6" t="s">
        <v>25</v>
      </c>
      <c r="N68" s="9" t="s">
        <v>26</v>
      </c>
      <c r="O68" s="6" t="s">
        <v>19</v>
      </c>
      <c r="P68" s="10" t="s">
        <v>143</v>
      </c>
      <c r="Q68" s="11" t="s">
        <v>338</v>
      </c>
      <c r="R68" s="16" t="s">
        <v>339</v>
      </c>
      <c r="S68" s="12" t="s">
        <v>340</v>
      </c>
      <c r="T68" s="3" t="s">
        <v>341</v>
      </c>
      <c r="U68" s="3" t="s">
        <v>341</v>
      </c>
      <c r="V68" s="3" t="s">
        <v>342</v>
      </c>
      <c r="W68" s="3" t="s">
        <v>343</v>
      </c>
      <c r="X68" s="3" t="s">
        <v>344</v>
      </c>
      <c r="Y68" s="3" t="s">
        <v>345</v>
      </c>
      <c r="Z68" s="3" t="s">
        <v>34</v>
      </c>
      <c r="AA68" s="3" t="s">
        <v>64</v>
      </c>
      <c r="AB68" s="3" t="s">
        <v>346</v>
      </c>
      <c r="AC68" s="3" t="s">
        <v>347</v>
      </c>
      <c r="AF68" s="3" t="s">
        <v>348</v>
      </c>
    </row>
    <row r="69">
      <c r="A69" s="25"/>
      <c r="B69" s="13"/>
      <c r="C69" s="6" t="s">
        <v>38</v>
      </c>
      <c r="D69" s="14" t="s">
        <v>349</v>
      </c>
      <c r="E69" s="13"/>
      <c r="F69" s="6" t="s">
        <v>38</v>
      </c>
      <c r="G69" s="10" t="s">
        <v>20</v>
      </c>
      <c r="H69" s="13"/>
      <c r="I69" s="6" t="s">
        <v>38</v>
      </c>
      <c r="J69" s="10" t="s">
        <v>23</v>
      </c>
      <c r="K69" s="13"/>
      <c r="L69" s="6" t="s">
        <v>41</v>
      </c>
      <c r="M69" s="10" t="s">
        <v>25</v>
      </c>
      <c r="N69" s="13"/>
      <c r="O69" s="6" t="s">
        <v>38</v>
      </c>
      <c r="P69" s="11" t="s">
        <v>350</v>
      </c>
    </row>
    <row r="71">
      <c r="A71" s="23" t="s">
        <v>351</v>
      </c>
      <c r="B71" s="7" t="s">
        <v>18</v>
      </c>
      <c r="C71" s="6" t="s">
        <v>19</v>
      </c>
      <c r="D71" s="6" t="s">
        <v>20</v>
      </c>
      <c r="E71" s="7" t="s">
        <v>21</v>
      </c>
      <c r="F71" s="6" t="s">
        <v>19</v>
      </c>
      <c r="G71" s="6" t="s">
        <v>20</v>
      </c>
      <c r="H71" s="7" t="s">
        <v>22</v>
      </c>
      <c r="I71" s="6" t="s">
        <v>19</v>
      </c>
      <c r="J71" s="6" t="s">
        <v>23</v>
      </c>
      <c r="K71" s="15" t="s">
        <v>24</v>
      </c>
      <c r="L71" s="6" t="s">
        <v>19</v>
      </c>
      <c r="M71" s="6" t="s">
        <v>25</v>
      </c>
      <c r="N71" s="9" t="s">
        <v>26</v>
      </c>
      <c r="O71" s="6" t="s">
        <v>19</v>
      </c>
      <c r="P71" s="10" t="s">
        <v>143</v>
      </c>
      <c r="Q71" s="11" t="s">
        <v>352</v>
      </c>
      <c r="R71" s="11" t="s">
        <v>216</v>
      </c>
      <c r="S71" s="11" t="s">
        <v>353</v>
      </c>
      <c r="T71" s="3" t="s">
        <v>354</v>
      </c>
      <c r="U71" s="3" t="s">
        <v>354</v>
      </c>
      <c r="V71" s="3" t="s">
        <v>355</v>
      </c>
      <c r="W71" s="3" t="s">
        <v>355</v>
      </c>
      <c r="X71" s="3" t="s">
        <v>356</v>
      </c>
      <c r="Y71" s="3" t="s">
        <v>280</v>
      </c>
      <c r="Z71" s="3" t="s">
        <v>34</v>
      </c>
      <c r="AA71" s="3" t="s">
        <v>64</v>
      </c>
      <c r="AB71" s="3" t="s">
        <v>357</v>
      </c>
      <c r="AC71" s="3" t="s">
        <v>358</v>
      </c>
      <c r="AD71" s="3" t="s">
        <v>359</v>
      </c>
      <c r="AF71" s="3" t="s">
        <v>360</v>
      </c>
    </row>
    <row r="72">
      <c r="A72" s="25"/>
      <c r="B72" s="13"/>
      <c r="C72" s="6" t="s">
        <v>38</v>
      </c>
      <c r="D72" s="27" t="s">
        <v>361</v>
      </c>
      <c r="E72" s="13"/>
      <c r="F72" s="6" t="s">
        <v>38</v>
      </c>
      <c r="G72" s="10" t="s">
        <v>20</v>
      </c>
      <c r="H72" s="13"/>
      <c r="I72" s="6" t="s">
        <v>38</v>
      </c>
      <c r="J72" s="10" t="s">
        <v>23</v>
      </c>
      <c r="K72" s="13"/>
      <c r="L72" s="6" t="s">
        <v>41</v>
      </c>
      <c r="M72" s="10" t="s">
        <v>25</v>
      </c>
      <c r="N72" s="13"/>
      <c r="O72" s="6" t="s">
        <v>38</v>
      </c>
      <c r="P72" s="11" t="s">
        <v>362</v>
      </c>
    </row>
    <row r="74">
      <c r="A74" s="33" t="s">
        <v>363</v>
      </c>
      <c r="B74" s="7" t="s">
        <v>18</v>
      </c>
      <c r="C74" s="6" t="s">
        <v>19</v>
      </c>
      <c r="D74" s="6" t="s">
        <v>20</v>
      </c>
      <c r="E74" s="7" t="s">
        <v>21</v>
      </c>
      <c r="F74" s="6" t="s">
        <v>19</v>
      </c>
      <c r="G74" s="6" t="s">
        <v>20</v>
      </c>
      <c r="H74" s="7" t="s">
        <v>22</v>
      </c>
      <c r="I74" s="6" t="s">
        <v>19</v>
      </c>
      <c r="J74" s="6" t="s">
        <v>23</v>
      </c>
      <c r="K74" s="15" t="s">
        <v>24</v>
      </c>
      <c r="L74" s="6" t="s">
        <v>19</v>
      </c>
      <c r="M74" s="6" t="s">
        <v>25</v>
      </c>
      <c r="N74" s="9" t="s">
        <v>26</v>
      </c>
      <c r="O74" s="6" t="s">
        <v>19</v>
      </c>
      <c r="P74" s="10" t="s">
        <v>143</v>
      </c>
      <c r="Q74" s="11" t="s">
        <v>364</v>
      </c>
      <c r="R74" s="11" t="s">
        <v>173</v>
      </c>
      <c r="S74" s="11" t="s">
        <v>365</v>
      </c>
      <c r="T74" s="11" t="s">
        <v>366</v>
      </c>
      <c r="U74" s="11" t="s">
        <v>233</v>
      </c>
      <c r="V74" s="3" t="s">
        <v>367</v>
      </c>
      <c r="W74" s="3" t="s">
        <v>367</v>
      </c>
      <c r="X74" s="3" t="s">
        <v>368</v>
      </c>
      <c r="Y74" s="3" t="s">
        <v>369</v>
      </c>
      <c r="Z74" s="3" t="s">
        <v>370</v>
      </c>
      <c r="AA74" s="3" t="s">
        <v>64</v>
      </c>
      <c r="AB74" s="3" t="s">
        <v>371</v>
      </c>
      <c r="AC74" s="3" t="s">
        <v>372</v>
      </c>
      <c r="AD74" s="3" t="s">
        <v>373</v>
      </c>
      <c r="AE74" s="3"/>
      <c r="AF74" s="3" t="s">
        <v>374</v>
      </c>
    </row>
    <row r="75">
      <c r="A75" s="25"/>
      <c r="B75" s="13"/>
      <c r="C75" s="6" t="s">
        <v>38</v>
      </c>
      <c r="D75" s="34" t="s">
        <v>375</v>
      </c>
      <c r="E75" s="13"/>
      <c r="F75" s="6" t="s">
        <v>38</v>
      </c>
      <c r="G75" s="10" t="s">
        <v>20</v>
      </c>
      <c r="H75" s="13"/>
      <c r="I75" s="6" t="s">
        <v>38</v>
      </c>
      <c r="J75" s="10" t="s">
        <v>23</v>
      </c>
      <c r="K75" s="13"/>
      <c r="L75" s="6" t="s">
        <v>41</v>
      </c>
      <c r="M75" s="10" t="s">
        <v>25</v>
      </c>
      <c r="N75" s="13"/>
      <c r="O75" s="6" t="s">
        <v>38</v>
      </c>
      <c r="P75" s="11" t="s">
        <v>376</v>
      </c>
    </row>
    <row r="78">
      <c r="A78" s="7" t="s">
        <v>377</v>
      </c>
      <c r="B78" s="7" t="s">
        <v>18</v>
      </c>
      <c r="C78" s="6" t="s">
        <v>19</v>
      </c>
      <c r="D78" s="6" t="s">
        <v>20</v>
      </c>
      <c r="E78" s="7" t="s">
        <v>21</v>
      </c>
      <c r="F78" s="6" t="s">
        <v>19</v>
      </c>
      <c r="G78" s="6" t="s">
        <v>20</v>
      </c>
      <c r="H78" s="7" t="s">
        <v>22</v>
      </c>
      <c r="I78" s="6" t="s">
        <v>19</v>
      </c>
      <c r="J78" s="6" t="s">
        <v>23</v>
      </c>
      <c r="K78" s="15" t="s">
        <v>24</v>
      </c>
      <c r="L78" s="6" t="s">
        <v>19</v>
      </c>
      <c r="M78" s="6" t="s">
        <v>25</v>
      </c>
      <c r="N78" s="35" t="s">
        <v>26</v>
      </c>
      <c r="O78" s="6" t="s">
        <v>19</v>
      </c>
      <c r="P78" s="10" t="s">
        <v>378</v>
      </c>
      <c r="Q78" s="12" t="s">
        <v>104</v>
      </c>
      <c r="R78" s="12" t="s">
        <v>379</v>
      </c>
      <c r="S78" s="12" t="s">
        <v>380</v>
      </c>
      <c r="T78" s="3" t="s">
        <v>381</v>
      </c>
      <c r="U78" s="3" t="s">
        <v>381</v>
      </c>
      <c r="V78" s="3" t="s">
        <v>382</v>
      </c>
      <c r="W78" s="3" t="s">
        <v>382</v>
      </c>
      <c r="X78" s="3" t="s">
        <v>383</v>
      </c>
      <c r="Y78" s="3" t="s">
        <v>384</v>
      </c>
      <c r="Z78" s="3" t="s">
        <v>34</v>
      </c>
      <c r="AA78" s="3" t="s">
        <v>385</v>
      </c>
      <c r="AB78" s="3" t="s">
        <v>386</v>
      </c>
      <c r="AC78" s="31" t="s">
        <v>387</v>
      </c>
      <c r="AD78" s="3" t="s">
        <v>388</v>
      </c>
      <c r="AE78" s="3"/>
      <c r="AF78" s="3" t="s">
        <v>389</v>
      </c>
    </row>
    <row r="79">
      <c r="A79" s="13"/>
      <c r="B79" s="13"/>
      <c r="C79" s="6" t="s">
        <v>38</v>
      </c>
      <c r="D79" s="36" t="s">
        <v>390</v>
      </c>
      <c r="E79" s="13"/>
      <c r="F79" s="6" t="s">
        <v>38</v>
      </c>
      <c r="G79" s="6" t="s">
        <v>20</v>
      </c>
      <c r="H79" s="13"/>
      <c r="I79" s="6" t="s">
        <v>38</v>
      </c>
      <c r="J79" s="6" t="s">
        <v>23</v>
      </c>
      <c r="K79" s="13"/>
      <c r="L79" s="6" t="s">
        <v>41</v>
      </c>
      <c r="M79" s="6" t="s">
        <v>335</v>
      </c>
      <c r="N79" s="13"/>
      <c r="O79" s="6" t="s">
        <v>38</v>
      </c>
      <c r="P79" s="10" t="s">
        <v>391</v>
      </c>
    </row>
    <row r="82">
      <c r="A82" s="7" t="s">
        <v>392</v>
      </c>
      <c r="B82" s="7" t="s">
        <v>18</v>
      </c>
      <c r="C82" s="6" t="s">
        <v>19</v>
      </c>
      <c r="D82" s="6" t="s">
        <v>20</v>
      </c>
      <c r="E82" s="7" t="s">
        <v>21</v>
      </c>
      <c r="F82" s="6" t="s">
        <v>19</v>
      </c>
      <c r="G82" s="6" t="s">
        <v>20</v>
      </c>
      <c r="H82" s="7" t="s">
        <v>22</v>
      </c>
      <c r="I82" s="6" t="s">
        <v>19</v>
      </c>
      <c r="J82" s="6" t="s">
        <v>23</v>
      </c>
      <c r="K82" s="15" t="s">
        <v>24</v>
      </c>
      <c r="L82" s="6" t="s">
        <v>19</v>
      </c>
      <c r="M82" s="6" t="s">
        <v>25</v>
      </c>
      <c r="N82" s="35" t="s">
        <v>26</v>
      </c>
      <c r="O82" s="6" t="s">
        <v>19</v>
      </c>
      <c r="P82" s="10" t="s">
        <v>378</v>
      </c>
      <c r="Q82" s="12" t="s">
        <v>393</v>
      </c>
      <c r="R82" s="16" t="s">
        <v>394</v>
      </c>
      <c r="S82" s="12" t="s">
        <v>395</v>
      </c>
      <c r="T82" s="3" t="s">
        <v>396</v>
      </c>
      <c r="U82" s="3" t="s">
        <v>396</v>
      </c>
      <c r="V82" s="3" t="s">
        <v>397</v>
      </c>
      <c r="W82" s="3" t="s">
        <v>397</v>
      </c>
      <c r="X82" s="3" t="s">
        <v>398</v>
      </c>
      <c r="Y82" s="3" t="s">
        <v>399</v>
      </c>
      <c r="Z82" s="3" t="s">
        <v>34</v>
      </c>
      <c r="AA82" s="3" t="s">
        <v>64</v>
      </c>
      <c r="AB82" s="3" t="s">
        <v>400</v>
      </c>
      <c r="AC82" s="3" t="s">
        <v>401</v>
      </c>
      <c r="AF82" s="3" t="s">
        <v>402</v>
      </c>
    </row>
    <row r="83">
      <c r="A83" s="13"/>
      <c r="B83" s="13"/>
      <c r="C83" s="6" t="s">
        <v>38</v>
      </c>
      <c r="D83" s="36" t="s">
        <v>403</v>
      </c>
      <c r="E83" s="13"/>
      <c r="F83" s="6" t="s">
        <v>38</v>
      </c>
      <c r="G83" s="6" t="s">
        <v>20</v>
      </c>
      <c r="H83" s="13"/>
      <c r="I83" s="6" t="s">
        <v>38</v>
      </c>
      <c r="J83" s="6" t="s">
        <v>23</v>
      </c>
      <c r="K83" s="13"/>
      <c r="L83" s="6" t="s">
        <v>41</v>
      </c>
      <c r="M83" s="6" t="s">
        <v>335</v>
      </c>
      <c r="N83" s="13"/>
      <c r="O83" s="6" t="s">
        <v>38</v>
      </c>
      <c r="P83" s="10" t="s">
        <v>391</v>
      </c>
    </row>
    <row r="85">
      <c r="A85" s="7" t="s">
        <v>404</v>
      </c>
      <c r="B85" s="7" t="s">
        <v>18</v>
      </c>
      <c r="C85" s="6" t="s">
        <v>19</v>
      </c>
      <c r="D85" s="6" t="s">
        <v>20</v>
      </c>
      <c r="E85" s="7" t="s">
        <v>21</v>
      </c>
      <c r="F85" s="6" t="s">
        <v>19</v>
      </c>
      <c r="G85" s="6" t="s">
        <v>20</v>
      </c>
      <c r="H85" s="7" t="s">
        <v>22</v>
      </c>
      <c r="I85" s="6" t="s">
        <v>19</v>
      </c>
      <c r="J85" s="6" t="s">
        <v>23</v>
      </c>
      <c r="K85" s="15" t="s">
        <v>24</v>
      </c>
      <c r="L85" s="6" t="s">
        <v>19</v>
      </c>
      <c r="M85" s="6" t="s">
        <v>25</v>
      </c>
      <c r="N85" s="35" t="s">
        <v>26</v>
      </c>
      <c r="O85" s="6" t="s">
        <v>19</v>
      </c>
      <c r="P85" s="10" t="s">
        <v>378</v>
      </c>
      <c r="Q85" s="12" t="s">
        <v>405</v>
      </c>
      <c r="R85" s="16" t="s">
        <v>406</v>
      </c>
      <c r="S85" s="12" t="s">
        <v>407</v>
      </c>
      <c r="T85" s="11" t="s">
        <v>408</v>
      </c>
      <c r="U85" s="21" t="s">
        <v>90</v>
      </c>
      <c r="V85" s="17" t="s">
        <v>409</v>
      </c>
      <c r="W85" s="11" t="s">
        <v>410</v>
      </c>
      <c r="X85" s="3" t="s">
        <v>411</v>
      </c>
      <c r="Y85" s="3" t="s">
        <v>412</v>
      </c>
      <c r="Z85" s="3" t="s">
        <v>413</v>
      </c>
      <c r="AA85" s="3" t="s">
        <v>122</v>
      </c>
      <c r="AB85" s="3" t="s">
        <v>414</v>
      </c>
      <c r="AC85" s="3" t="s">
        <v>415</v>
      </c>
      <c r="AF85" s="3" t="s">
        <v>416</v>
      </c>
    </row>
    <row r="86">
      <c r="A86" s="13"/>
      <c r="B86" s="13"/>
      <c r="C86" s="6" t="s">
        <v>38</v>
      </c>
      <c r="D86" s="37" t="s">
        <v>417</v>
      </c>
      <c r="E86" s="13"/>
      <c r="F86" s="6" t="s">
        <v>38</v>
      </c>
      <c r="G86" s="6" t="s">
        <v>20</v>
      </c>
      <c r="H86" s="13"/>
      <c r="I86" s="6" t="s">
        <v>38</v>
      </c>
      <c r="J86" s="6" t="s">
        <v>418</v>
      </c>
      <c r="K86" s="13"/>
      <c r="L86" s="6" t="s">
        <v>41</v>
      </c>
      <c r="M86" s="6" t="s">
        <v>419</v>
      </c>
      <c r="N86" s="13"/>
      <c r="O86" s="6" t="s">
        <v>38</v>
      </c>
      <c r="P86" s="10" t="s">
        <v>391</v>
      </c>
    </row>
    <row r="88">
      <c r="A88" s="7" t="s">
        <v>420</v>
      </c>
      <c r="B88" s="7" t="s">
        <v>18</v>
      </c>
      <c r="C88" s="6" t="s">
        <v>19</v>
      </c>
      <c r="D88" s="6" t="s">
        <v>20</v>
      </c>
      <c r="E88" s="7" t="s">
        <v>21</v>
      </c>
      <c r="F88" s="6" t="s">
        <v>19</v>
      </c>
      <c r="G88" s="6" t="s">
        <v>20</v>
      </c>
      <c r="H88" s="7" t="s">
        <v>22</v>
      </c>
      <c r="I88" s="6" t="s">
        <v>19</v>
      </c>
      <c r="J88" s="6" t="s">
        <v>23</v>
      </c>
      <c r="K88" s="15" t="s">
        <v>24</v>
      </c>
      <c r="L88" s="6" t="s">
        <v>19</v>
      </c>
      <c r="M88" s="6" t="s">
        <v>25</v>
      </c>
      <c r="N88" s="35" t="s">
        <v>26</v>
      </c>
      <c r="O88" s="6" t="s">
        <v>19</v>
      </c>
      <c r="P88" s="10" t="s">
        <v>421</v>
      </c>
      <c r="Q88" s="12" t="s">
        <v>422</v>
      </c>
      <c r="R88" s="38" t="s">
        <v>423</v>
      </c>
      <c r="S88" s="3" t="s">
        <v>424</v>
      </c>
      <c r="T88" s="3" t="s">
        <v>425</v>
      </c>
      <c r="U88" s="3" t="s">
        <v>425</v>
      </c>
      <c r="V88" s="3" t="s">
        <v>426</v>
      </c>
      <c r="W88" s="3" t="s">
        <v>426</v>
      </c>
      <c r="X88" s="3" t="s">
        <v>427</v>
      </c>
      <c r="Y88" s="3" t="s">
        <v>428</v>
      </c>
      <c r="Z88" s="3" t="s">
        <v>34</v>
      </c>
      <c r="AA88" s="3" t="s">
        <v>429</v>
      </c>
      <c r="AB88" s="3" t="s">
        <v>430</v>
      </c>
      <c r="AC88" s="3" t="s">
        <v>431</v>
      </c>
      <c r="AF88" s="3" t="s">
        <v>432</v>
      </c>
    </row>
    <row r="89">
      <c r="A89" s="13"/>
      <c r="B89" s="13"/>
      <c r="C89" s="6" t="s">
        <v>38</v>
      </c>
      <c r="D89" s="36" t="s">
        <v>433</v>
      </c>
      <c r="E89" s="13"/>
      <c r="F89" s="6" t="s">
        <v>38</v>
      </c>
      <c r="G89" s="6" t="s">
        <v>20</v>
      </c>
      <c r="H89" s="13"/>
      <c r="I89" s="6" t="s">
        <v>38</v>
      </c>
      <c r="J89" s="6" t="s">
        <v>23</v>
      </c>
      <c r="K89" s="13"/>
      <c r="L89" s="6" t="s">
        <v>41</v>
      </c>
      <c r="M89" s="6" t="s">
        <v>335</v>
      </c>
      <c r="N89" s="13"/>
      <c r="O89" s="6" t="s">
        <v>38</v>
      </c>
      <c r="P89" s="10" t="s">
        <v>421</v>
      </c>
    </row>
    <row r="91">
      <c r="A91" s="7" t="s">
        <v>434</v>
      </c>
      <c r="B91" s="7" t="s">
        <v>18</v>
      </c>
      <c r="C91" s="6" t="s">
        <v>19</v>
      </c>
      <c r="D91" s="6" t="s">
        <v>20</v>
      </c>
      <c r="E91" s="7" t="s">
        <v>21</v>
      </c>
      <c r="F91" s="6" t="s">
        <v>19</v>
      </c>
      <c r="G91" s="6" t="s">
        <v>20</v>
      </c>
      <c r="H91" s="7" t="s">
        <v>22</v>
      </c>
      <c r="I91" s="6" t="s">
        <v>19</v>
      </c>
      <c r="J91" s="6" t="s">
        <v>23</v>
      </c>
      <c r="K91" s="15" t="s">
        <v>24</v>
      </c>
      <c r="L91" s="6" t="s">
        <v>19</v>
      </c>
      <c r="M91" s="6" t="s">
        <v>25</v>
      </c>
      <c r="N91" s="35" t="s">
        <v>26</v>
      </c>
      <c r="O91" s="6" t="s">
        <v>19</v>
      </c>
      <c r="P91" s="10" t="s">
        <v>378</v>
      </c>
      <c r="Q91" s="16" t="s">
        <v>435</v>
      </c>
      <c r="R91" s="3" t="s">
        <v>436</v>
      </c>
      <c r="S91" s="3" t="s">
        <v>437</v>
      </c>
      <c r="T91" s="3" t="s">
        <v>438</v>
      </c>
      <c r="U91" s="3" t="s">
        <v>438</v>
      </c>
      <c r="V91" s="3" t="s">
        <v>439</v>
      </c>
      <c r="W91" s="3" t="s">
        <v>439</v>
      </c>
      <c r="X91" s="3" t="s">
        <v>440</v>
      </c>
      <c r="Y91" s="3" t="s">
        <v>441</v>
      </c>
      <c r="Z91" s="3" t="s">
        <v>34</v>
      </c>
      <c r="AA91" s="3" t="s">
        <v>64</v>
      </c>
      <c r="AB91" s="3" t="s">
        <v>442</v>
      </c>
      <c r="AC91" s="3" t="s">
        <v>34</v>
      </c>
      <c r="AD91" s="3" t="s">
        <v>443</v>
      </c>
      <c r="AE91" s="3"/>
      <c r="AF91" s="3" t="s">
        <v>444</v>
      </c>
    </row>
    <row r="92">
      <c r="A92" s="13"/>
      <c r="B92" s="13"/>
      <c r="C92" s="6" t="s">
        <v>38</v>
      </c>
      <c r="D92" s="36" t="s">
        <v>445</v>
      </c>
      <c r="E92" s="13"/>
      <c r="F92" s="6" t="s">
        <v>38</v>
      </c>
      <c r="G92" s="6" t="s">
        <v>20</v>
      </c>
      <c r="H92" s="13"/>
      <c r="I92" s="6" t="s">
        <v>38</v>
      </c>
      <c r="J92" s="6" t="s">
        <v>23</v>
      </c>
      <c r="K92" s="13"/>
      <c r="L92" s="6" t="s">
        <v>41</v>
      </c>
      <c r="M92" s="6" t="s">
        <v>335</v>
      </c>
      <c r="N92" s="13"/>
      <c r="O92" s="6" t="s">
        <v>38</v>
      </c>
      <c r="P92" s="10" t="s">
        <v>391</v>
      </c>
    </row>
    <row r="95">
      <c r="A95" s="7" t="s">
        <v>446</v>
      </c>
      <c r="B95" s="7" t="s">
        <v>18</v>
      </c>
      <c r="C95" s="6" t="s">
        <v>19</v>
      </c>
      <c r="D95" s="6" t="s">
        <v>20</v>
      </c>
      <c r="E95" s="7" t="s">
        <v>21</v>
      </c>
      <c r="F95" s="6" t="s">
        <v>19</v>
      </c>
      <c r="G95" s="6" t="s">
        <v>20</v>
      </c>
      <c r="H95" s="7" t="s">
        <v>22</v>
      </c>
      <c r="I95" s="6" t="s">
        <v>19</v>
      </c>
      <c r="J95" s="6" t="s">
        <v>23</v>
      </c>
      <c r="K95" s="15" t="s">
        <v>24</v>
      </c>
      <c r="L95" s="6" t="s">
        <v>19</v>
      </c>
      <c r="M95" s="6" t="s">
        <v>25</v>
      </c>
      <c r="N95" s="35" t="s">
        <v>26</v>
      </c>
      <c r="O95" s="6" t="s">
        <v>19</v>
      </c>
      <c r="P95" s="10" t="s">
        <v>378</v>
      </c>
      <c r="Q95" s="12" t="s">
        <v>189</v>
      </c>
      <c r="R95" s="12" t="s">
        <v>447</v>
      </c>
      <c r="S95" s="12" t="s">
        <v>448</v>
      </c>
      <c r="T95" s="3" t="s">
        <v>449</v>
      </c>
      <c r="U95" s="3" t="s">
        <v>449</v>
      </c>
      <c r="V95" s="3" t="s">
        <v>450</v>
      </c>
      <c r="W95" s="3" t="s">
        <v>450</v>
      </c>
      <c r="X95" s="3" t="s">
        <v>451</v>
      </c>
      <c r="Y95" s="3" t="s">
        <v>452</v>
      </c>
      <c r="Z95" s="3" t="s">
        <v>453</v>
      </c>
      <c r="AA95" s="3" t="s">
        <v>64</v>
      </c>
      <c r="AB95" s="3" t="s">
        <v>454</v>
      </c>
      <c r="AC95" s="3" t="s">
        <v>455</v>
      </c>
      <c r="AF95" s="3" t="s">
        <v>456</v>
      </c>
    </row>
    <row r="96">
      <c r="A96" s="13"/>
      <c r="B96" s="13"/>
      <c r="C96" s="6" t="s">
        <v>38</v>
      </c>
      <c r="D96" s="36" t="s">
        <v>457</v>
      </c>
      <c r="E96" s="13"/>
      <c r="F96" s="6" t="s">
        <v>38</v>
      </c>
      <c r="G96" s="6" t="s">
        <v>20</v>
      </c>
      <c r="H96" s="13"/>
      <c r="I96" s="6" t="s">
        <v>38</v>
      </c>
      <c r="J96" s="6" t="s">
        <v>23</v>
      </c>
      <c r="K96" s="13"/>
      <c r="L96" s="6" t="s">
        <v>41</v>
      </c>
      <c r="M96" s="6" t="s">
        <v>335</v>
      </c>
      <c r="N96" s="13"/>
      <c r="O96" s="6" t="s">
        <v>38</v>
      </c>
      <c r="P96" s="10" t="s">
        <v>391</v>
      </c>
    </row>
    <row r="97">
      <c r="AC97" s="3" t="s">
        <v>458</v>
      </c>
    </row>
    <row r="98">
      <c r="A98" s="3" t="s">
        <v>459</v>
      </c>
      <c r="D98" s="11" t="s">
        <v>460</v>
      </c>
      <c r="Q98" s="11" t="s">
        <v>461</v>
      </c>
      <c r="R98" s="39" t="s">
        <v>462</v>
      </c>
      <c r="S98" s="12" t="s">
        <v>463</v>
      </c>
      <c r="T98" s="11" t="s">
        <v>464</v>
      </c>
      <c r="U98" s="21" t="s">
        <v>465</v>
      </c>
      <c r="V98" s="11" t="s">
        <v>92</v>
      </c>
      <c r="W98" s="11" t="s">
        <v>466</v>
      </c>
      <c r="X98" s="3" t="s">
        <v>441</v>
      </c>
      <c r="Y98" s="3" t="s">
        <v>467</v>
      </c>
      <c r="Z98" s="3" t="s">
        <v>468</v>
      </c>
      <c r="AA98" s="3" t="s">
        <v>469</v>
      </c>
      <c r="AB98" s="3" t="s">
        <v>470</v>
      </c>
      <c r="AF98" s="3" t="s">
        <v>471</v>
      </c>
    </row>
    <row r="100">
      <c r="A100" s="3" t="s">
        <v>472</v>
      </c>
      <c r="D100" s="11" t="s">
        <v>473</v>
      </c>
      <c r="Q100" s="11" t="s">
        <v>474</v>
      </c>
      <c r="R100" s="11" t="s">
        <v>190</v>
      </c>
      <c r="S100" s="11" t="s">
        <v>475</v>
      </c>
      <c r="T100" s="11" t="s">
        <v>476</v>
      </c>
      <c r="U100" s="11" t="s">
        <v>278</v>
      </c>
      <c r="V100" s="11" t="s">
        <v>107</v>
      </c>
      <c r="W100" s="11" t="s">
        <v>477</v>
      </c>
      <c r="X100" s="3" t="s">
        <v>478</v>
      </c>
      <c r="Y100" s="3" t="s">
        <v>479</v>
      </c>
      <c r="Z100" s="3" t="s">
        <v>480</v>
      </c>
      <c r="AA100" s="3" t="s">
        <v>64</v>
      </c>
      <c r="AB100" s="3" t="s">
        <v>481</v>
      </c>
      <c r="AC100" s="3" t="s">
        <v>482</v>
      </c>
      <c r="AD100" s="3" t="s">
        <v>483</v>
      </c>
      <c r="AE100" s="3"/>
      <c r="AF100" s="3" t="s">
        <v>484</v>
      </c>
    </row>
    <row r="102">
      <c r="Z102" s="3" t="s">
        <v>34</v>
      </c>
    </row>
    <row r="103">
      <c r="A103" s="19" t="s">
        <v>485</v>
      </c>
      <c r="D103" s="11" t="s">
        <v>486</v>
      </c>
      <c r="Q103" s="11" t="s">
        <v>487</v>
      </c>
      <c r="R103" s="11" t="s">
        <v>203</v>
      </c>
      <c r="S103" s="11" t="s">
        <v>488</v>
      </c>
      <c r="T103" s="11" t="s">
        <v>489</v>
      </c>
      <c r="U103" s="11" t="s">
        <v>366</v>
      </c>
      <c r="V103" s="21" t="s">
        <v>490</v>
      </c>
      <c r="W103" s="11" t="s">
        <v>205</v>
      </c>
      <c r="X103" s="3" t="s">
        <v>491</v>
      </c>
      <c r="Y103" s="3" t="s">
        <v>492</v>
      </c>
      <c r="AA103" s="3" t="s">
        <v>177</v>
      </c>
      <c r="AB103" s="3" t="s">
        <v>493</v>
      </c>
      <c r="AC103" s="3" t="s">
        <v>494</v>
      </c>
      <c r="AD103" s="3" t="s">
        <v>495</v>
      </c>
      <c r="AF103" s="3" t="s">
        <v>496</v>
      </c>
    </row>
    <row r="104">
      <c r="X104" s="3"/>
    </row>
    <row r="105">
      <c r="A105" s="3" t="s">
        <v>497</v>
      </c>
      <c r="D105" s="3" t="s">
        <v>498</v>
      </c>
      <c r="Q105" s="16" t="s">
        <v>499</v>
      </c>
      <c r="R105" s="19" t="s">
        <v>500</v>
      </c>
      <c r="S105" s="3" t="s">
        <v>501</v>
      </c>
      <c r="T105" s="3" t="s">
        <v>502</v>
      </c>
      <c r="U105" s="3" t="s">
        <v>502</v>
      </c>
      <c r="V105" s="21" t="s">
        <v>503</v>
      </c>
      <c r="W105" s="11" t="s">
        <v>504</v>
      </c>
      <c r="X105" s="3" t="s">
        <v>505</v>
      </c>
      <c r="Y105" s="3" t="s">
        <v>506</v>
      </c>
      <c r="Z105" s="3" t="s">
        <v>507</v>
      </c>
      <c r="AA105" s="3" t="s">
        <v>508</v>
      </c>
      <c r="AB105" s="3" t="s">
        <v>509</v>
      </c>
      <c r="AC105" s="3" t="s">
        <v>510</v>
      </c>
      <c r="AD105" s="3" t="s">
        <v>511</v>
      </c>
      <c r="AE105" s="3"/>
      <c r="AF105" s="3" t="s">
        <v>512</v>
      </c>
    </row>
    <row r="107">
      <c r="A107" s="3" t="s">
        <v>513</v>
      </c>
      <c r="D107" s="3" t="s">
        <v>514</v>
      </c>
      <c r="Q107" s="3" t="s">
        <v>515</v>
      </c>
      <c r="R107" s="3" t="s">
        <v>516</v>
      </c>
      <c r="S107" s="3" t="s">
        <v>517</v>
      </c>
      <c r="T107" s="19" t="s">
        <v>518</v>
      </c>
      <c r="U107" s="3" t="s">
        <v>518</v>
      </c>
      <c r="V107" s="3" t="s">
        <v>519</v>
      </c>
      <c r="W107" s="3" t="s">
        <v>519</v>
      </c>
      <c r="X107" s="3" t="s">
        <v>520</v>
      </c>
      <c r="Y107" s="3" t="s">
        <v>521</v>
      </c>
      <c r="Z107" s="3" t="s">
        <v>522</v>
      </c>
      <c r="AA107" s="3" t="s">
        <v>523</v>
      </c>
      <c r="AB107" s="3" t="s">
        <v>524</v>
      </c>
      <c r="AC107" s="3" t="s">
        <v>525</v>
      </c>
      <c r="AD107" s="3" t="s">
        <v>526</v>
      </c>
      <c r="AE107" s="3"/>
      <c r="AF107" s="3" t="s">
        <v>527</v>
      </c>
    </row>
    <row r="109">
      <c r="Q109" s="3" t="s">
        <v>528</v>
      </c>
    </row>
    <row r="110">
      <c r="Q110" s="3" t="s">
        <v>529</v>
      </c>
    </row>
    <row r="111">
      <c r="Q111" s="3" t="s">
        <v>530</v>
      </c>
    </row>
    <row r="112">
      <c r="Q112" s="3" t="s">
        <v>531</v>
      </c>
    </row>
  </sheetData>
  <mergeCells count="168">
    <mergeCell ref="K19:K20"/>
    <mergeCell ref="K22:K23"/>
    <mergeCell ref="K26:K27"/>
    <mergeCell ref="K6:K7"/>
    <mergeCell ref="K9:K10"/>
    <mergeCell ref="K12:K13"/>
    <mergeCell ref="N12:N13"/>
    <mergeCell ref="K15:K16"/>
    <mergeCell ref="N15:N16"/>
    <mergeCell ref="N19:N20"/>
    <mergeCell ref="H12:H13"/>
    <mergeCell ref="H15:H16"/>
    <mergeCell ref="H19:H20"/>
    <mergeCell ref="H22:H23"/>
    <mergeCell ref="H26:H27"/>
    <mergeCell ref="H29:H30"/>
    <mergeCell ref="H32:H33"/>
    <mergeCell ref="H35:H36"/>
    <mergeCell ref="H38:H39"/>
    <mergeCell ref="H47:H48"/>
    <mergeCell ref="H50:H51"/>
    <mergeCell ref="H53:H54"/>
    <mergeCell ref="H56:H57"/>
    <mergeCell ref="H59:H60"/>
    <mergeCell ref="H85:H86"/>
    <mergeCell ref="H88:H89"/>
    <mergeCell ref="H91:H92"/>
    <mergeCell ref="H95:H96"/>
    <mergeCell ref="H62:H63"/>
    <mergeCell ref="H65:H66"/>
    <mergeCell ref="H68:H69"/>
    <mergeCell ref="H71:H72"/>
    <mergeCell ref="H74:H75"/>
    <mergeCell ref="H78:H79"/>
    <mergeCell ref="H82:H83"/>
    <mergeCell ref="E38:E39"/>
    <mergeCell ref="E41:E42"/>
    <mergeCell ref="E15:E16"/>
    <mergeCell ref="E19:E20"/>
    <mergeCell ref="E22:E23"/>
    <mergeCell ref="E26:E27"/>
    <mergeCell ref="E29:E30"/>
    <mergeCell ref="E32:E33"/>
    <mergeCell ref="E35:E36"/>
    <mergeCell ref="A35:A36"/>
    <mergeCell ref="B35:B36"/>
    <mergeCell ref="A38:A39"/>
    <mergeCell ref="B38:B39"/>
    <mergeCell ref="A41:A42"/>
    <mergeCell ref="B41:B42"/>
    <mergeCell ref="E44:E45"/>
    <mergeCell ref="A65:A66"/>
    <mergeCell ref="B65:B66"/>
    <mergeCell ref="B44:B45"/>
    <mergeCell ref="B47:B48"/>
    <mergeCell ref="B50:B51"/>
    <mergeCell ref="B53:B54"/>
    <mergeCell ref="B56:B57"/>
    <mergeCell ref="B59:B60"/>
    <mergeCell ref="B62:B63"/>
    <mergeCell ref="E47:E48"/>
    <mergeCell ref="E50:E51"/>
    <mergeCell ref="E53:E54"/>
    <mergeCell ref="E56:E57"/>
    <mergeCell ref="E59:E60"/>
    <mergeCell ref="E62:E63"/>
    <mergeCell ref="E65:E66"/>
    <mergeCell ref="A85:A86"/>
    <mergeCell ref="B85:B86"/>
    <mergeCell ref="A88:A89"/>
    <mergeCell ref="B88:B89"/>
    <mergeCell ref="A91:A92"/>
    <mergeCell ref="B91:B92"/>
    <mergeCell ref="A95:A96"/>
    <mergeCell ref="B95:B96"/>
    <mergeCell ref="B68:B69"/>
    <mergeCell ref="B71:B72"/>
    <mergeCell ref="B74:B75"/>
    <mergeCell ref="A78:A79"/>
    <mergeCell ref="B78:B79"/>
    <mergeCell ref="A82:A83"/>
    <mergeCell ref="B82:B83"/>
    <mergeCell ref="E91:E92"/>
    <mergeCell ref="E95:E96"/>
    <mergeCell ref="E68:E69"/>
    <mergeCell ref="E71:E72"/>
    <mergeCell ref="E74:E75"/>
    <mergeCell ref="E78:E79"/>
    <mergeCell ref="E82:E83"/>
    <mergeCell ref="E85:E86"/>
    <mergeCell ref="E88:E89"/>
    <mergeCell ref="N38:N39"/>
    <mergeCell ref="N41:N42"/>
    <mergeCell ref="N44:N45"/>
    <mergeCell ref="N47:N48"/>
    <mergeCell ref="N50:N51"/>
    <mergeCell ref="N53:N54"/>
    <mergeCell ref="N56:N57"/>
    <mergeCell ref="N91:N92"/>
    <mergeCell ref="N95:N96"/>
    <mergeCell ref="N59:N60"/>
    <mergeCell ref="N62:N63"/>
    <mergeCell ref="N74:N75"/>
    <mergeCell ref="N78:N79"/>
    <mergeCell ref="N82:N83"/>
    <mergeCell ref="N85:N86"/>
    <mergeCell ref="N88:N89"/>
    <mergeCell ref="K71:K72"/>
    <mergeCell ref="K74:K75"/>
    <mergeCell ref="K78:K79"/>
    <mergeCell ref="K82:K83"/>
    <mergeCell ref="K85:K86"/>
    <mergeCell ref="K88:K89"/>
    <mergeCell ref="K91:K92"/>
    <mergeCell ref="K95:K96"/>
    <mergeCell ref="K50:K51"/>
    <mergeCell ref="K53:K54"/>
    <mergeCell ref="K56:K57"/>
    <mergeCell ref="K59:K60"/>
    <mergeCell ref="K62:K63"/>
    <mergeCell ref="K65:K66"/>
    <mergeCell ref="K68:K69"/>
    <mergeCell ref="B1:N1"/>
    <mergeCell ref="A3:A4"/>
    <mergeCell ref="B3:B4"/>
    <mergeCell ref="E3:E4"/>
    <mergeCell ref="H3:H4"/>
    <mergeCell ref="K3:K4"/>
    <mergeCell ref="N3:N4"/>
    <mergeCell ref="A6:A7"/>
    <mergeCell ref="B6:B7"/>
    <mergeCell ref="H6:H7"/>
    <mergeCell ref="N6:N7"/>
    <mergeCell ref="A9:A10"/>
    <mergeCell ref="B9:B10"/>
    <mergeCell ref="H9:H10"/>
    <mergeCell ref="N9:N10"/>
    <mergeCell ref="E6:E7"/>
    <mergeCell ref="E9:E10"/>
    <mergeCell ref="B12:B13"/>
    <mergeCell ref="E12:E13"/>
    <mergeCell ref="A15:A16"/>
    <mergeCell ref="B15:B16"/>
    <mergeCell ref="B19:B20"/>
    <mergeCell ref="A22:A23"/>
    <mergeCell ref="B22:B23"/>
    <mergeCell ref="A26:A27"/>
    <mergeCell ref="B26:B27"/>
    <mergeCell ref="B29:B30"/>
    <mergeCell ref="A32:A33"/>
    <mergeCell ref="B32:B33"/>
    <mergeCell ref="N22:N23"/>
    <mergeCell ref="N26:N27"/>
    <mergeCell ref="K29:K30"/>
    <mergeCell ref="N29:N30"/>
    <mergeCell ref="K32:K33"/>
    <mergeCell ref="N32:N33"/>
    <mergeCell ref="N35:N36"/>
    <mergeCell ref="K35:K36"/>
    <mergeCell ref="K38:K39"/>
    <mergeCell ref="H41:H42"/>
    <mergeCell ref="K41:K42"/>
    <mergeCell ref="H44:H45"/>
    <mergeCell ref="K44:K45"/>
    <mergeCell ref="K47:K48"/>
    <mergeCell ref="N65:N66"/>
    <mergeCell ref="N68:N69"/>
    <mergeCell ref="N71:N72"/>
  </mergeCells>
  <hyperlinks>
    <hyperlink r:id="rId1" ref="B1"/>
    <hyperlink r:id="rId2" ref="AD6"/>
    <hyperlink r:id="rId3" ref="AC12"/>
    <hyperlink r:id="rId4" ref="W26"/>
    <hyperlink r:id="rId5" ref="D45"/>
    <hyperlink r:id="rId6" ref="J45"/>
    <hyperlink r:id="rId7" ref="M45"/>
    <hyperlink r:id="rId8" ref="D72"/>
    <hyperlink r:id="rId9" ref="R88"/>
    <hyperlink r:id="rId10" ref="A103"/>
    <hyperlink r:id="rId11" ref="R105"/>
    <hyperlink r:id="rId12" ref="T107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3.38"/>
    <col customWidth="1" min="3" max="3" width="13.88"/>
    <col customWidth="1" min="5" max="5" width="29.13"/>
    <col customWidth="1" min="6" max="6" width="21.25"/>
    <col customWidth="1" min="7" max="7" width="33.75"/>
  </cols>
  <sheetData>
    <row r="1">
      <c r="B1" s="40" t="s">
        <v>532</v>
      </c>
      <c r="C1" s="3" t="s">
        <v>533</v>
      </c>
      <c r="D1" s="3" t="s">
        <v>534</v>
      </c>
      <c r="E1" s="3" t="s">
        <v>535</v>
      </c>
      <c r="F1" s="3" t="s">
        <v>536</v>
      </c>
      <c r="G1" s="3" t="s">
        <v>537</v>
      </c>
      <c r="H1" s="3" t="s">
        <v>538</v>
      </c>
    </row>
    <row r="2">
      <c r="A2" s="41">
        <v>1.0</v>
      </c>
      <c r="B2" s="41" t="s">
        <v>539</v>
      </c>
      <c r="C2" s="42" t="s">
        <v>540</v>
      </c>
      <c r="D2" s="42" t="s">
        <v>64</v>
      </c>
      <c r="E2" s="42" t="s">
        <v>64</v>
      </c>
      <c r="F2" s="42" t="s">
        <v>34</v>
      </c>
      <c r="G2" s="42" t="s">
        <v>541</v>
      </c>
      <c r="H2" s="43"/>
      <c r="I2" s="43"/>
    </row>
    <row r="3">
      <c r="A3" s="44">
        <v>2.0</v>
      </c>
      <c r="B3" s="44" t="s">
        <v>542</v>
      </c>
      <c r="C3" s="45" t="s">
        <v>543</v>
      </c>
      <c r="D3" s="45" t="s">
        <v>34</v>
      </c>
      <c r="E3" s="45" t="s">
        <v>64</v>
      </c>
      <c r="F3" s="45" t="s">
        <v>34</v>
      </c>
      <c r="G3" s="45" t="s">
        <v>544</v>
      </c>
      <c r="H3" s="46"/>
      <c r="I3" s="46"/>
    </row>
    <row r="4">
      <c r="A4" s="41">
        <v>3.0</v>
      </c>
      <c r="B4" s="41" t="s">
        <v>545</v>
      </c>
      <c r="C4" s="42" t="s">
        <v>546</v>
      </c>
      <c r="D4" s="42" t="s">
        <v>64</v>
      </c>
      <c r="E4" s="42" t="s">
        <v>64</v>
      </c>
      <c r="F4" s="42" t="s">
        <v>34</v>
      </c>
      <c r="G4" s="42" t="s">
        <v>547</v>
      </c>
      <c r="H4" s="43"/>
      <c r="I4" s="43"/>
    </row>
    <row r="5">
      <c r="A5" s="44">
        <v>4.0</v>
      </c>
      <c r="B5" s="44" t="s">
        <v>548</v>
      </c>
      <c r="C5" s="44" t="s">
        <v>549</v>
      </c>
      <c r="D5" s="45" t="s">
        <v>64</v>
      </c>
      <c r="E5" s="45" t="s">
        <v>64</v>
      </c>
      <c r="F5" s="45" t="s">
        <v>34</v>
      </c>
      <c r="G5" s="45" t="s">
        <v>550</v>
      </c>
      <c r="H5" s="46"/>
      <c r="I5" s="46"/>
    </row>
    <row r="6">
      <c r="A6" s="41">
        <v>5.0</v>
      </c>
      <c r="B6" s="41" t="s">
        <v>551</v>
      </c>
      <c r="C6" s="42" t="s">
        <v>552</v>
      </c>
      <c r="D6" s="42" t="s">
        <v>64</v>
      </c>
      <c r="E6" s="42" t="s">
        <v>64</v>
      </c>
      <c r="F6" s="42" t="s">
        <v>34</v>
      </c>
      <c r="G6" s="42" t="s">
        <v>553</v>
      </c>
      <c r="H6" s="42"/>
      <c r="I6" s="42" t="s">
        <v>554</v>
      </c>
    </row>
    <row r="7">
      <c r="A7" s="44">
        <v>6.0</v>
      </c>
      <c r="B7" s="44" t="s">
        <v>555</v>
      </c>
      <c r="C7" s="45" t="s">
        <v>556</v>
      </c>
      <c r="D7" s="45" t="s">
        <v>64</v>
      </c>
      <c r="E7" s="45" t="s">
        <v>64</v>
      </c>
      <c r="F7" s="45" t="s">
        <v>177</v>
      </c>
      <c r="G7" s="44" t="s">
        <v>557</v>
      </c>
      <c r="H7" s="46"/>
      <c r="I7" s="46"/>
    </row>
    <row r="8">
      <c r="A8" s="41">
        <v>7.0</v>
      </c>
      <c r="B8" s="41" t="s">
        <v>558</v>
      </c>
      <c r="C8" s="41" t="s">
        <v>559</v>
      </c>
      <c r="D8" s="42" t="s">
        <v>34</v>
      </c>
      <c r="E8" s="42" t="s">
        <v>64</v>
      </c>
      <c r="F8" s="42" t="s">
        <v>34</v>
      </c>
      <c r="G8" s="41" t="s">
        <v>560</v>
      </c>
      <c r="H8" s="41"/>
      <c r="I8" s="41"/>
    </row>
    <row r="9">
      <c r="A9" s="44">
        <v>8.0</v>
      </c>
      <c r="B9" s="44" t="s">
        <v>561</v>
      </c>
      <c r="C9" s="45" t="s">
        <v>562</v>
      </c>
      <c r="D9" s="45" t="s">
        <v>64</v>
      </c>
      <c r="E9" s="45" t="s">
        <v>64</v>
      </c>
      <c r="F9" s="45" t="s">
        <v>34</v>
      </c>
      <c r="G9" s="44" t="s">
        <v>563</v>
      </c>
      <c r="H9" s="44"/>
      <c r="I9" s="44"/>
    </row>
    <row r="10">
      <c r="A10" s="41">
        <v>9.0</v>
      </c>
      <c r="B10" s="42" t="s">
        <v>564</v>
      </c>
      <c r="C10" s="42" t="s">
        <v>565</v>
      </c>
      <c r="D10" s="42" t="s">
        <v>64</v>
      </c>
      <c r="E10" s="42" t="s">
        <v>64</v>
      </c>
      <c r="F10" s="42" t="s">
        <v>34</v>
      </c>
      <c r="G10" s="42" t="s">
        <v>566</v>
      </c>
      <c r="H10" s="41"/>
      <c r="I10" s="41"/>
    </row>
    <row r="11">
      <c r="A11" s="44">
        <v>10.0</v>
      </c>
      <c r="B11" s="45" t="s">
        <v>567</v>
      </c>
      <c r="C11" s="45" t="s">
        <v>568</v>
      </c>
      <c r="D11" s="45" t="s">
        <v>34</v>
      </c>
      <c r="E11" s="45" t="s">
        <v>64</v>
      </c>
      <c r="F11" s="45" t="s">
        <v>34</v>
      </c>
      <c r="G11" s="45" t="s">
        <v>569</v>
      </c>
      <c r="H11" s="44"/>
      <c r="I11" s="44"/>
    </row>
    <row r="12">
      <c r="A12" s="41">
        <v>11.0</v>
      </c>
      <c r="B12" s="41" t="s">
        <v>570</v>
      </c>
      <c r="C12" s="42" t="s">
        <v>571</v>
      </c>
      <c r="D12" s="42" t="s">
        <v>34</v>
      </c>
      <c r="E12" s="42" t="s">
        <v>64</v>
      </c>
      <c r="F12" s="42" t="s">
        <v>34</v>
      </c>
      <c r="G12" s="42" t="s">
        <v>572</v>
      </c>
      <c r="H12" s="41"/>
      <c r="I12" s="41"/>
    </row>
    <row r="13">
      <c r="A13" s="44">
        <v>12.0</v>
      </c>
      <c r="B13" s="44" t="s">
        <v>573</v>
      </c>
      <c r="C13" s="44" t="s">
        <v>574</v>
      </c>
      <c r="D13" s="45" t="s">
        <v>34</v>
      </c>
      <c r="E13" s="45" t="s">
        <v>64</v>
      </c>
      <c r="F13" s="45" t="s">
        <v>34</v>
      </c>
      <c r="G13" s="45" t="s">
        <v>575</v>
      </c>
      <c r="H13" s="44"/>
      <c r="I13" s="44"/>
    </row>
    <row r="14">
      <c r="A14" s="41">
        <v>13.0</v>
      </c>
      <c r="B14" s="41" t="s">
        <v>576</v>
      </c>
      <c r="C14" s="42" t="s">
        <v>549</v>
      </c>
      <c r="D14" s="42" t="s">
        <v>64</v>
      </c>
      <c r="E14" s="42" t="s">
        <v>64</v>
      </c>
      <c r="F14" s="42" t="s">
        <v>34</v>
      </c>
      <c r="G14" s="42" t="s">
        <v>577</v>
      </c>
      <c r="H14" s="41"/>
      <c r="I14" s="41"/>
    </row>
    <row r="15">
      <c r="A15" s="44">
        <v>14.0</v>
      </c>
      <c r="B15" s="44" t="s">
        <v>578</v>
      </c>
      <c r="C15" s="45" t="s">
        <v>579</v>
      </c>
      <c r="D15" s="45" t="s">
        <v>64</v>
      </c>
      <c r="E15" s="45" t="s">
        <v>64</v>
      </c>
      <c r="F15" s="45" t="s">
        <v>34</v>
      </c>
      <c r="G15" s="45" t="s">
        <v>580</v>
      </c>
      <c r="H15" s="44"/>
      <c r="I15" s="44"/>
    </row>
    <row r="16">
      <c r="A16" s="41">
        <v>15.0</v>
      </c>
      <c r="B16" s="41" t="s">
        <v>581</v>
      </c>
      <c r="C16" s="42" t="s">
        <v>582</v>
      </c>
      <c r="D16" s="42" t="s">
        <v>64</v>
      </c>
      <c r="E16" s="42" t="s">
        <v>64</v>
      </c>
      <c r="F16" s="42" t="s">
        <v>34</v>
      </c>
      <c r="G16" s="42" t="s">
        <v>583</v>
      </c>
      <c r="H16" s="41"/>
      <c r="I16" s="41"/>
    </row>
    <row r="17">
      <c r="A17" s="44">
        <v>16.0</v>
      </c>
      <c r="B17" s="44" t="s">
        <v>584</v>
      </c>
      <c r="C17" s="45">
        <v>9.9</v>
      </c>
      <c r="D17" s="45" t="s">
        <v>64</v>
      </c>
      <c r="E17" s="45" t="s">
        <v>64</v>
      </c>
      <c r="F17" s="45" t="s">
        <v>34</v>
      </c>
      <c r="G17" s="45" t="s">
        <v>585</v>
      </c>
      <c r="H17" s="44"/>
      <c r="I17" s="44"/>
    </row>
    <row r="18">
      <c r="A18" s="41">
        <v>17.0</v>
      </c>
      <c r="B18" s="41" t="s">
        <v>586</v>
      </c>
      <c r="C18" s="41" t="s">
        <v>587</v>
      </c>
      <c r="D18" s="42" t="s">
        <v>64</v>
      </c>
      <c r="E18" s="42" t="s">
        <v>64</v>
      </c>
      <c r="F18" s="42" t="s">
        <v>177</v>
      </c>
      <c r="G18" s="42" t="s">
        <v>588</v>
      </c>
      <c r="H18" s="41"/>
      <c r="I18" s="41"/>
    </row>
    <row r="19">
      <c r="A19" s="44">
        <v>18.0</v>
      </c>
      <c r="B19" s="44" t="s">
        <v>589</v>
      </c>
      <c r="C19" s="45" t="s">
        <v>590</v>
      </c>
      <c r="D19" s="45" t="s">
        <v>34</v>
      </c>
      <c r="E19" s="45" t="s">
        <v>64</v>
      </c>
      <c r="F19" s="45" t="s">
        <v>177</v>
      </c>
      <c r="G19" s="45" t="s">
        <v>591</v>
      </c>
      <c r="H19" s="45" t="s">
        <v>64</v>
      </c>
      <c r="I19" s="44"/>
    </row>
    <row r="20">
      <c r="A20" s="41">
        <v>19.0</v>
      </c>
      <c r="B20" s="41" t="s">
        <v>592</v>
      </c>
      <c r="C20" s="42">
        <v>14.22</v>
      </c>
      <c r="D20" s="42" t="s">
        <v>34</v>
      </c>
      <c r="E20" s="42" t="s">
        <v>34</v>
      </c>
      <c r="F20" s="42" t="s">
        <v>34</v>
      </c>
      <c r="G20" s="42" t="s">
        <v>593</v>
      </c>
      <c r="H20" s="41"/>
      <c r="I20" s="41"/>
    </row>
    <row r="21">
      <c r="A21" s="45">
        <v>20.0</v>
      </c>
      <c r="B21" s="47" t="s">
        <v>594</v>
      </c>
      <c r="C21" s="44" t="s">
        <v>496</v>
      </c>
      <c r="D21" s="45" t="s">
        <v>64</v>
      </c>
      <c r="E21" s="45" t="s">
        <v>34</v>
      </c>
      <c r="F21" s="45" t="s">
        <v>177</v>
      </c>
      <c r="G21" s="45" t="s">
        <v>595</v>
      </c>
      <c r="H21" s="44"/>
      <c r="I21" s="44"/>
    </row>
    <row r="22">
      <c r="A22" s="42">
        <v>21.0</v>
      </c>
      <c r="B22" s="41" t="s">
        <v>596</v>
      </c>
      <c r="C22" s="42" t="s">
        <v>318</v>
      </c>
      <c r="D22" s="42" t="s">
        <v>34</v>
      </c>
      <c r="E22" s="42" t="s">
        <v>34</v>
      </c>
      <c r="F22" s="42" t="s">
        <v>597</v>
      </c>
      <c r="G22" s="42" t="s">
        <v>598</v>
      </c>
      <c r="H22" s="41"/>
      <c r="I22" s="41"/>
    </row>
    <row r="23">
      <c r="A23" s="45">
        <v>22.0</v>
      </c>
      <c r="B23" s="44" t="s">
        <v>599</v>
      </c>
      <c r="C23" s="44" t="s">
        <v>484</v>
      </c>
      <c r="D23" s="45" t="s">
        <v>64</v>
      </c>
      <c r="E23" s="45" t="s">
        <v>64</v>
      </c>
      <c r="F23" s="45" t="s">
        <v>34</v>
      </c>
      <c r="G23" s="45" t="s">
        <v>600</v>
      </c>
      <c r="H23" s="44"/>
      <c r="I23" s="44"/>
    </row>
    <row r="24">
      <c r="A24" s="42">
        <v>23.0</v>
      </c>
      <c r="B24" s="41" t="s">
        <v>601</v>
      </c>
      <c r="C24" s="41" t="s">
        <v>602</v>
      </c>
      <c r="D24" s="42" t="s">
        <v>64</v>
      </c>
      <c r="E24" s="42" t="s">
        <v>64</v>
      </c>
      <c r="F24" s="42" t="s">
        <v>177</v>
      </c>
      <c r="G24" s="42" t="s">
        <v>603</v>
      </c>
      <c r="H24" s="41"/>
      <c r="I24" s="41"/>
    </row>
    <row r="25">
      <c r="A25" s="45">
        <v>24.0</v>
      </c>
      <c r="B25" s="44" t="s">
        <v>604</v>
      </c>
      <c r="C25" s="45" t="s">
        <v>605</v>
      </c>
      <c r="D25" s="45" t="s">
        <v>34</v>
      </c>
      <c r="E25" s="45" t="s">
        <v>64</v>
      </c>
      <c r="F25" s="45" t="s">
        <v>34</v>
      </c>
      <c r="G25" s="45" t="s">
        <v>606</v>
      </c>
      <c r="H25" s="44"/>
      <c r="I25" s="44"/>
    </row>
    <row r="26">
      <c r="A26" s="42">
        <v>25.0</v>
      </c>
      <c r="B26" s="41" t="s">
        <v>607</v>
      </c>
      <c r="C26" s="42" t="s">
        <v>125</v>
      </c>
      <c r="D26" s="42" t="s">
        <v>64</v>
      </c>
      <c r="E26" s="42" t="s">
        <v>64</v>
      </c>
      <c r="F26" s="42" t="s">
        <v>177</v>
      </c>
      <c r="G26" s="42" t="s">
        <v>608</v>
      </c>
      <c r="H26" s="41"/>
      <c r="I26" s="41"/>
    </row>
    <row r="27">
      <c r="A27" s="45">
        <v>26.0</v>
      </c>
      <c r="B27" s="45" t="s">
        <v>609</v>
      </c>
      <c r="C27" s="45" t="s">
        <v>432</v>
      </c>
      <c r="D27" s="45" t="s">
        <v>34</v>
      </c>
      <c r="E27" s="45" t="s">
        <v>64</v>
      </c>
      <c r="F27" s="45" t="s">
        <v>34</v>
      </c>
      <c r="G27" s="45" t="s">
        <v>610</v>
      </c>
      <c r="H27" s="44"/>
      <c r="I27" s="44"/>
    </row>
    <row r="28">
      <c r="A28" s="42">
        <v>27.0</v>
      </c>
      <c r="B28" s="41" t="s">
        <v>611</v>
      </c>
      <c r="C28" s="42" t="s">
        <v>97</v>
      </c>
      <c r="D28" s="42" t="s">
        <v>34</v>
      </c>
      <c r="E28" s="42" t="s">
        <v>64</v>
      </c>
      <c r="F28" s="42" t="s">
        <v>34</v>
      </c>
      <c r="G28" s="42" t="s">
        <v>612</v>
      </c>
      <c r="H28" s="41"/>
      <c r="I28" s="41"/>
    </row>
    <row r="29">
      <c r="A29" s="45">
        <v>28.0</v>
      </c>
      <c r="B29" s="44" t="s">
        <v>613</v>
      </c>
      <c r="C29" s="45" t="s">
        <v>456</v>
      </c>
      <c r="D29" s="44"/>
      <c r="E29" s="44"/>
      <c r="F29" s="44"/>
      <c r="G29" s="45" t="s">
        <v>614</v>
      </c>
      <c r="H29" s="44"/>
      <c r="I29" s="44"/>
    </row>
    <row r="30">
      <c r="A30" s="42">
        <v>29.0</v>
      </c>
      <c r="B30" s="41" t="s">
        <v>615</v>
      </c>
      <c r="C30" s="48" t="s">
        <v>616</v>
      </c>
      <c r="H30" s="41"/>
      <c r="I30" s="41"/>
    </row>
    <row r="31">
      <c r="A31" s="45">
        <v>30.0</v>
      </c>
      <c r="B31" s="44" t="s">
        <v>617</v>
      </c>
      <c r="C31" s="49" t="s">
        <v>618</v>
      </c>
      <c r="D31" s="44"/>
      <c r="E31" s="44"/>
      <c r="F31" s="44"/>
      <c r="G31" s="50" t="s">
        <v>619</v>
      </c>
      <c r="H31" s="44"/>
      <c r="I31" s="44"/>
    </row>
    <row r="32">
      <c r="A32" s="42">
        <v>31.0</v>
      </c>
      <c r="B32" s="41" t="s">
        <v>620</v>
      </c>
      <c r="C32" s="42" t="s">
        <v>621</v>
      </c>
      <c r="D32" s="41"/>
      <c r="E32" s="41"/>
      <c r="F32" s="41"/>
      <c r="G32" s="50" t="s">
        <v>622</v>
      </c>
      <c r="H32" s="41"/>
      <c r="I32" s="41"/>
    </row>
    <row r="33">
      <c r="A33" s="45">
        <v>32.0</v>
      </c>
      <c r="B33" s="44" t="s">
        <v>623</v>
      </c>
      <c r="C33" s="51" t="s">
        <v>624</v>
      </c>
      <c r="D33" s="44"/>
      <c r="E33" s="44"/>
      <c r="F33" s="44"/>
      <c r="G33" s="45" t="s">
        <v>625</v>
      </c>
      <c r="H33" s="44"/>
      <c r="I33" s="44"/>
    </row>
    <row r="34">
      <c r="A34" s="42">
        <v>33.0</v>
      </c>
      <c r="B34" s="41" t="s">
        <v>626</v>
      </c>
      <c r="C34" s="49" t="s">
        <v>512</v>
      </c>
      <c r="D34" s="41"/>
      <c r="E34" s="41"/>
      <c r="F34" s="41"/>
      <c r="G34" s="42" t="s">
        <v>627</v>
      </c>
      <c r="H34" s="41"/>
      <c r="I34" s="41"/>
    </row>
    <row r="35">
      <c r="A35" s="45">
        <v>34.0</v>
      </c>
      <c r="B35" s="44" t="s">
        <v>628</v>
      </c>
      <c r="C35" s="49" t="s">
        <v>527</v>
      </c>
      <c r="D35" s="44"/>
      <c r="E35" s="44"/>
      <c r="F35" s="44"/>
      <c r="G35" s="50" t="s">
        <v>629</v>
      </c>
      <c r="H35" s="44"/>
      <c r="I35" s="44"/>
    </row>
    <row r="36">
      <c r="A36" s="42">
        <v>35.0</v>
      </c>
      <c r="B36" s="41" t="s">
        <v>630</v>
      </c>
      <c r="C36" s="42" t="s">
        <v>360</v>
      </c>
      <c r="D36" s="42" t="s">
        <v>64</v>
      </c>
      <c r="E36" s="42" t="s">
        <v>64</v>
      </c>
      <c r="F36" s="42" t="s">
        <v>177</v>
      </c>
      <c r="G36" s="50" t="s">
        <v>631</v>
      </c>
      <c r="H36" s="41"/>
      <c r="I36" s="41"/>
    </row>
    <row r="37">
      <c r="C37" s="44"/>
      <c r="D37" s="44"/>
      <c r="E37" s="44"/>
      <c r="F37" s="44"/>
      <c r="G37" s="44"/>
      <c r="H37" s="44"/>
      <c r="I37" s="44"/>
    </row>
    <row r="38">
      <c r="C38" s="41"/>
      <c r="D38" s="41"/>
      <c r="E38" s="41"/>
      <c r="F38" s="41"/>
      <c r="G38" s="41"/>
      <c r="H38" s="41"/>
      <c r="I38" s="41"/>
    </row>
    <row r="39">
      <c r="C39" s="44"/>
      <c r="D39" s="44"/>
      <c r="E39" s="44"/>
      <c r="F39" s="44"/>
      <c r="G39" s="44"/>
      <c r="H39" s="44"/>
      <c r="I39" s="44"/>
    </row>
    <row r="40">
      <c r="C40" s="41"/>
      <c r="D40" s="41"/>
      <c r="E40" s="41"/>
      <c r="F40" s="41"/>
      <c r="G40" s="41"/>
      <c r="H40" s="41"/>
      <c r="I40" s="41"/>
    </row>
    <row r="41">
      <c r="C41" s="44"/>
      <c r="D41" s="44"/>
      <c r="E41" s="44"/>
      <c r="F41" s="44"/>
      <c r="G41" s="44"/>
      <c r="H41" s="44"/>
      <c r="I41" s="44"/>
    </row>
    <row r="42">
      <c r="C42" s="41"/>
      <c r="D42" s="41"/>
      <c r="E42" s="41"/>
      <c r="F42" s="41"/>
      <c r="G42" s="41"/>
      <c r="H42" s="41"/>
      <c r="I42" s="41"/>
    </row>
    <row r="43">
      <c r="C43" s="44"/>
      <c r="D43" s="44"/>
      <c r="E43" s="44"/>
      <c r="F43" s="44"/>
      <c r="G43" s="44"/>
      <c r="H43" s="44"/>
      <c r="I43" s="44"/>
    </row>
    <row r="44">
      <c r="C44" s="41"/>
      <c r="D44" s="41"/>
      <c r="E44" s="41"/>
      <c r="F44" s="41"/>
      <c r="G44" s="41"/>
      <c r="H44" s="41"/>
      <c r="I44" s="41"/>
    </row>
    <row r="45">
      <c r="C45" s="44"/>
      <c r="D45" s="44"/>
      <c r="E45" s="44"/>
      <c r="F45" s="44"/>
      <c r="G45" s="44"/>
      <c r="H45" s="44"/>
      <c r="I45" s="44"/>
    </row>
    <row r="46">
      <c r="C46" s="41"/>
      <c r="D46" s="41"/>
      <c r="E46" s="41"/>
      <c r="F46" s="41"/>
      <c r="G46" s="41"/>
      <c r="H46" s="41"/>
      <c r="I46" s="41"/>
    </row>
    <row r="47">
      <c r="C47" s="44"/>
      <c r="D47" s="44"/>
      <c r="E47" s="44"/>
      <c r="F47" s="44"/>
      <c r="G47" s="44"/>
      <c r="H47" s="44"/>
      <c r="I47" s="44"/>
    </row>
    <row r="48">
      <c r="C48" s="41"/>
      <c r="D48" s="41"/>
      <c r="E48" s="41"/>
      <c r="F48" s="41"/>
      <c r="G48" s="41"/>
      <c r="H48" s="41"/>
      <c r="I48" s="41"/>
    </row>
    <row r="49">
      <c r="C49" s="44"/>
      <c r="D49" s="44"/>
      <c r="E49" s="44"/>
      <c r="F49" s="44"/>
      <c r="G49" s="44"/>
      <c r="H49" s="44"/>
      <c r="I49" s="44"/>
    </row>
    <row r="50">
      <c r="C50" s="41"/>
      <c r="D50" s="41"/>
      <c r="E50" s="41"/>
      <c r="F50" s="41"/>
      <c r="G50" s="41"/>
      <c r="H50" s="41"/>
      <c r="I50" s="41"/>
    </row>
    <row r="51">
      <c r="C51" s="44"/>
      <c r="D51" s="44"/>
      <c r="E51" s="44"/>
      <c r="F51" s="44"/>
      <c r="G51" s="44"/>
      <c r="H51" s="44"/>
      <c r="I51" s="44"/>
    </row>
    <row r="52">
      <c r="C52" s="41"/>
      <c r="D52" s="41"/>
      <c r="E52" s="41"/>
      <c r="F52" s="41"/>
      <c r="G52" s="41"/>
      <c r="H52" s="41"/>
      <c r="I52" s="41"/>
    </row>
    <row r="53">
      <c r="C53" s="44"/>
      <c r="D53" s="44"/>
      <c r="E53" s="44"/>
      <c r="F53" s="44"/>
      <c r="G53" s="44"/>
      <c r="H53" s="44"/>
      <c r="I53" s="44"/>
    </row>
    <row r="54">
      <c r="C54" s="41"/>
      <c r="D54" s="41"/>
      <c r="E54" s="41"/>
      <c r="F54" s="41"/>
      <c r="G54" s="41"/>
      <c r="H54" s="41"/>
      <c r="I54" s="41"/>
    </row>
    <row r="55">
      <c r="C55" s="44"/>
      <c r="D55" s="44"/>
      <c r="E55" s="44"/>
      <c r="F55" s="44"/>
      <c r="G55" s="44"/>
      <c r="H55" s="44"/>
      <c r="I55" s="44"/>
    </row>
    <row r="56">
      <c r="C56" s="41"/>
      <c r="D56" s="41"/>
      <c r="E56" s="41"/>
      <c r="F56" s="41"/>
      <c r="G56" s="41"/>
      <c r="H56" s="41"/>
      <c r="I56" s="41"/>
    </row>
    <row r="57">
      <c r="C57" s="44"/>
      <c r="D57" s="44"/>
      <c r="E57" s="44"/>
      <c r="F57" s="44"/>
      <c r="G57" s="44"/>
      <c r="H57" s="44"/>
      <c r="I57" s="44"/>
    </row>
    <row r="58">
      <c r="C58" s="41"/>
      <c r="D58" s="41"/>
      <c r="E58" s="41"/>
      <c r="F58" s="41"/>
      <c r="G58" s="41"/>
      <c r="H58" s="41"/>
      <c r="I58" s="41"/>
    </row>
    <row r="59">
      <c r="C59" s="44"/>
      <c r="D59" s="44"/>
      <c r="E59" s="44"/>
      <c r="F59" s="44"/>
      <c r="G59" s="44"/>
      <c r="H59" s="44"/>
      <c r="I59" s="44"/>
    </row>
    <row r="60">
      <c r="C60" s="41"/>
      <c r="D60" s="41"/>
      <c r="E60" s="41"/>
      <c r="F60" s="41"/>
      <c r="G60" s="41"/>
      <c r="H60" s="41"/>
      <c r="I60" s="41"/>
    </row>
    <row r="61">
      <c r="C61" s="44"/>
      <c r="D61" s="44"/>
      <c r="E61" s="44"/>
      <c r="F61" s="44"/>
      <c r="G61" s="44"/>
      <c r="H61" s="44"/>
      <c r="I61" s="44"/>
    </row>
    <row r="62">
      <c r="C62" s="41"/>
      <c r="D62" s="41"/>
      <c r="E62" s="41"/>
      <c r="F62" s="41"/>
      <c r="G62" s="41"/>
      <c r="H62" s="41"/>
      <c r="I62" s="41"/>
    </row>
  </sheetData>
  <mergeCells count="1">
    <mergeCell ref="C30:G30"/>
  </mergeCells>
  <hyperlinks>
    <hyperlink r:id="rId1" ref="B2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3.0"/>
    <col customWidth="1" min="2" max="3" width="32.25"/>
    <col customWidth="1" min="4" max="4" width="21.38"/>
    <col customWidth="1" min="5" max="7" width="29.63"/>
    <col customWidth="1" min="8" max="9" width="65.88"/>
    <col customWidth="1" min="10" max="10" width="29.63"/>
    <col customWidth="1" min="11" max="11" width="31.75"/>
  </cols>
  <sheetData>
    <row r="1">
      <c r="A1" s="52" t="s">
        <v>632</v>
      </c>
      <c r="B1" s="52" t="s">
        <v>633</v>
      </c>
      <c r="C1" s="52" t="s">
        <v>634</v>
      </c>
      <c r="D1" s="52" t="s">
        <v>635</v>
      </c>
      <c r="E1" s="52" t="s">
        <v>636</v>
      </c>
      <c r="F1" s="52" t="s">
        <v>637</v>
      </c>
      <c r="G1" s="52" t="s">
        <v>638</v>
      </c>
      <c r="H1" s="52" t="s">
        <v>639</v>
      </c>
      <c r="I1" s="52"/>
      <c r="J1" s="52" t="s">
        <v>640</v>
      </c>
      <c r="K1" s="52" t="s">
        <v>641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</row>
    <row r="2"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</row>
    <row r="3">
      <c r="A3" s="3" t="s">
        <v>17</v>
      </c>
      <c r="B3" s="3" t="s">
        <v>642</v>
      </c>
      <c r="C3" s="3" t="s">
        <v>643</v>
      </c>
      <c r="F3" s="3" t="s">
        <v>644</v>
      </c>
      <c r="G3" s="3" t="s">
        <v>645</v>
      </c>
      <c r="H3" s="18"/>
      <c r="I3" s="18"/>
      <c r="J3" s="3" t="s">
        <v>646</v>
      </c>
    </row>
    <row r="4">
      <c r="F4" s="3"/>
    </row>
    <row r="5">
      <c r="A5" s="3" t="s">
        <v>647</v>
      </c>
      <c r="B5" s="3"/>
      <c r="C5" s="3" t="s">
        <v>648</v>
      </c>
      <c r="F5" s="3" t="s">
        <v>649</v>
      </c>
      <c r="J5" s="3" t="s">
        <v>650</v>
      </c>
    </row>
    <row r="7">
      <c r="A7" s="3" t="s">
        <v>651</v>
      </c>
      <c r="B7" s="3"/>
      <c r="C7" s="3" t="s">
        <v>652</v>
      </c>
      <c r="F7" s="3" t="s">
        <v>653</v>
      </c>
      <c r="G7" s="3" t="s">
        <v>645</v>
      </c>
      <c r="J7" s="3" t="s">
        <v>654</v>
      </c>
    </row>
    <row r="9">
      <c r="A9" s="3" t="s">
        <v>655</v>
      </c>
      <c r="B9" s="3"/>
      <c r="C9" s="3" t="s">
        <v>656</v>
      </c>
      <c r="F9" s="3" t="s">
        <v>657</v>
      </c>
      <c r="J9" s="3" t="s">
        <v>658</v>
      </c>
    </row>
    <row r="11">
      <c r="A11" s="3" t="s">
        <v>86</v>
      </c>
      <c r="B11" s="3"/>
      <c r="C11" s="3" t="s">
        <v>659</v>
      </c>
      <c r="D11" s="3" t="s">
        <v>645</v>
      </c>
      <c r="E11" s="3"/>
      <c r="F11" s="3" t="s">
        <v>660</v>
      </c>
      <c r="G11" s="3" t="s">
        <v>645</v>
      </c>
      <c r="H11" s="3"/>
      <c r="I11" s="3"/>
      <c r="J11" s="3" t="s">
        <v>661</v>
      </c>
      <c r="K11" s="3" t="s">
        <v>645</v>
      </c>
    </row>
    <row r="13">
      <c r="A13" s="3" t="s">
        <v>101</v>
      </c>
      <c r="B13" s="3"/>
      <c r="C13" s="3" t="s">
        <v>662</v>
      </c>
      <c r="F13" s="3" t="s">
        <v>663</v>
      </c>
      <c r="J13" s="3" t="s">
        <v>664</v>
      </c>
    </row>
    <row r="15">
      <c r="A15" s="3" t="s">
        <v>115</v>
      </c>
      <c r="B15" s="3"/>
      <c r="C15" s="3" t="s">
        <v>665</v>
      </c>
      <c r="D15" s="3" t="s">
        <v>645</v>
      </c>
      <c r="E15" s="3"/>
      <c r="F15" s="3" t="s">
        <v>663</v>
      </c>
      <c r="G15" s="3"/>
      <c r="H15" s="3"/>
      <c r="I15" s="3"/>
      <c r="J15" s="3" t="s">
        <v>666</v>
      </c>
    </row>
    <row r="17">
      <c r="A17" s="3" t="s">
        <v>129</v>
      </c>
      <c r="B17" s="3"/>
      <c r="C17" s="3" t="s">
        <v>667</v>
      </c>
      <c r="F17" s="3" t="s">
        <v>668</v>
      </c>
      <c r="J17" s="3" t="s">
        <v>666</v>
      </c>
    </row>
    <row r="19">
      <c r="A19" s="3" t="s">
        <v>669</v>
      </c>
      <c r="B19" s="3"/>
      <c r="C19" s="3" t="s">
        <v>670</v>
      </c>
      <c r="F19" s="3" t="s">
        <v>671</v>
      </c>
      <c r="J19" s="3" t="s">
        <v>666</v>
      </c>
    </row>
    <row r="21">
      <c r="A21" s="3" t="s">
        <v>157</v>
      </c>
      <c r="B21" s="3"/>
      <c r="C21" s="3" t="s">
        <v>672</v>
      </c>
      <c r="F21" s="3" t="s">
        <v>668</v>
      </c>
      <c r="J21" s="3" t="s">
        <v>666</v>
      </c>
    </row>
    <row r="23">
      <c r="A23" s="3" t="s">
        <v>170</v>
      </c>
      <c r="B23" s="3"/>
      <c r="C23" s="3" t="s">
        <v>673</v>
      </c>
      <c r="F23" s="3" t="s">
        <v>674</v>
      </c>
      <c r="J23" s="3" t="s">
        <v>675</v>
      </c>
      <c r="K23" s="3" t="s">
        <v>645</v>
      </c>
    </row>
    <row r="25">
      <c r="A25" s="3" t="s">
        <v>186</v>
      </c>
      <c r="B25" s="3"/>
      <c r="C25" s="3" t="s">
        <v>676</v>
      </c>
      <c r="F25" s="3" t="s">
        <v>677</v>
      </c>
      <c r="G25" s="3" t="s">
        <v>645</v>
      </c>
      <c r="J25" s="3" t="s">
        <v>666</v>
      </c>
    </row>
    <row r="27">
      <c r="A27" s="3" t="s">
        <v>199</v>
      </c>
      <c r="B27" s="3"/>
      <c r="C27" s="3" t="s">
        <v>678</v>
      </c>
      <c r="F27" s="3" t="s">
        <v>678</v>
      </c>
      <c r="J27" s="3" t="s">
        <v>679</v>
      </c>
      <c r="K27" s="3" t="s">
        <v>645</v>
      </c>
    </row>
    <row r="28">
      <c r="B28" s="53"/>
      <c r="C28" s="53"/>
    </row>
    <row r="29">
      <c r="A29" s="3" t="s">
        <v>214</v>
      </c>
      <c r="B29" s="3"/>
      <c r="C29" s="3" t="s">
        <v>680</v>
      </c>
      <c r="D29" s="3" t="s">
        <v>645</v>
      </c>
      <c r="E29" s="3"/>
      <c r="F29" s="3" t="s">
        <v>680</v>
      </c>
      <c r="G29" s="3"/>
      <c r="H29" s="3"/>
      <c r="I29" s="3"/>
      <c r="J29" s="3" t="s">
        <v>681</v>
      </c>
      <c r="K29" s="3" t="s">
        <v>645</v>
      </c>
    </row>
    <row r="31">
      <c r="A31" s="3" t="s">
        <v>230</v>
      </c>
      <c r="B31" s="3"/>
      <c r="C31" s="3" t="s">
        <v>682</v>
      </c>
      <c r="D31" s="3" t="s">
        <v>645</v>
      </c>
      <c r="E31" s="3"/>
      <c r="F31" s="3" t="s">
        <v>683</v>
      </c>
      <c r="G31" s="3"/>
      <c r="H31" s="3"/>
      <c r="I31" s="3"/>
      <c r="J31" s="3" t="s">
        <v>684</v>
      </c>
    </row>
    <row r="33">
      <c r="A33" s="3" t="s">
        <v>244</v>
      </c>
      <c r="B33" s="3"/>
      <c r="C33" s="3" t="s">
        <v>685</v>
      </c>
      <c r="F33" s="3" t="s">
        <v>686</v>
      </c>
      <c r="J33" s="3" t="s">
        <v>686</v>
      </c>
    </row>
    <row r="35">
      <c r="A35" s="3" t="s">
        <v>259</v>
      </c>
      <c r="B35" s="3"/>
      <c r="C35" s="3" t="s">
        <v>667</v>
      </c>
      <c r="F35" s="3" t="s">
        <v>668</v>
      </c>
      <c r="J35" s="3" t="s">
        <v>666</v>
      </c>
    </row>
    <row r="37">
      <c r="A37" s="3" t="s">
        <v>274</v>
      </c>
      <c r="B37" s="3"/>
      <c r="C37" s="3" t="s">
        <v>687</v>
      </c>
      <c r="F37" s="3" t="s">
        <v>687</v>
      </c>
      <c r="J37" s="3" t="s">
        <v>687</v>
      </c>
    </row>
    <row r="39">
      <c r="A39" s="3" t="s">
        <v>290</v>
      </c>
      <c r="B39" s="3"/>
      <c r="C39" s="3" t="s">
        <v>688</v>
      </c>
      <c r="D39" s="3" t="s">
        <v>645</v>
      </c>
      <c r="E39" s="3"/>
      <c r="F39" s="3" t="s">
        <v>668</v>
      </c>
      <c r="G39" s="3"/>
      <c r="H39" s="3"/>
      <c r="I39" s="3"/>
      <c r="J39" s="3" t="s">
        <v>689</v>
      </c>
    </row>
    <row r="41">
      <c r="A41" s="3" t="s">
        <v>305</v>
      </c>
      <c r="B41" s="3"/>
      <c r="C41" s="3" t="s">
        <v>690</v>
      </c>
      <c r="F41" s="3" t="s">
        <v>668</v>
      </c>
      <c r="J41" s="3" t="s">
        <v>664</v>
      </c>
    </row>
    <row r="43">
      <c r="A43" s="3" t="s">
        <v>323</v>
      </c>
      <c r="B43" s="3"/>
      <c r="C43" s="3" t="s">
        <v>691</v>
      </c>
      <c r="F43" s="3" t="s">
        <v>692</v>
      </c>
      <c r="G43" s="3" t="s">
        <v>645</v>
      </c>
      <c r="J43" s="3" t="s">
        <v>693</v>
      </c>
    </row>
    <row r="45">
      <c r="A45" s="3" t="s">
        <v>337</v>
      </c>
      <c r="B45" s="3"/>
      <c r="C45" s="3" t="s">
        <v>694</v>
      </c>
      <c r="F45" s="3" t="s">
        <v>668</v>
      </c>
      <c r="J45" s="3" t="s">
        <v>664</v>
      </c>
    </row>
    <row r="47">
      <c r="A47" s="3" t="s">
        <v>351</v>
      </c>
      <c r="B47" s="3"/>
      <c r="C47" s="3" t="s">
        <v>695</v>
      </c>
      <c r="D47" s="3" t="s">
        <v>645</v>
      </c>
      <c r="E47" s="3"/>
      <c r="F47" s="3" t="s">
        <v>668</v>
      </c>
      <c r="G47" s="3"/>
      <c r="H47" s="3"/>
      <c r="I47" s="3"/>
      <c r="J47" s="3" t="s">
        <v>664</v>
      </c>
    </row>
    <row r="49">
      <c r="A49" s="3" t="s">
        <v>363</v>
      </c>
      <c r="B49" s="3"/>
      <c r="C49" s="3" t="s">
        <v>696</v>
      </c>
      <c r="F49" s="3" t="s">
        <v>697</v>
      </c>
      <c r="J49" s="3" t="s">
        <v>664</v>
      </c>
    </row>
    <row r="51">
      <c r="A51" s="3" t="s">
        <v>377</v>
      </c>
      <c r="B51" s="3"/>
      <c r="C51" s="3" t="s">
        <v>698</v>
      </c>
      <c r="F51" s="3" t="s">
        <v>668</v>
      </c>
      <c r="J51" s="3" t="s">
        <v>664</v>
      </c>
    </row>
    <row r="53">
      <c r="A53" s="3" t="s">
        <v>392</v>
      </c>
      <c r="B53" s="3"/>
      <c r="C53" s="3" t="s">
        <v>699</v>
      </c>
      <c r="D53" s="3" t="s">
        <v>645</v>
      </c>
      <c r="E53" s="3"/>
      <c r="F53" s="3" t="s">
        <v>668</v>
      </c>
      <c r="G53" s="3"/>
      <c r="H53" s="3"/>
      <c r="I53" s="3"/>
      <c r="J53" s="3" t="s">
        <v>664</v>
      </c>
    </row>
    <row r="54">
      <c r="F54" s="3"/>
    </row>
    <row r="55">
      <c r="A55" s="3" t="s">
        <v>404</v>
      </c>
      <c r="B55" s="3"/>
      <c r="C55" s="3" t="s">
        <v>700</v>
      </c>
      <c r="F55" s="3" t="s">
        <v>701</v>
      </c>
      <c r="G55" s="3" t="s">
        <v>645</v>
      </c>
      <c r="J55" s="3" t="s">
        <v>702</v>
      </c>
      <c r="K55" s="3" t="s">
        <v>645</v>
      </c>
    </row>
    <row r="57">
      <c r="A57" s="3" t="s">
        <v>420</v>
      </c>
      <c r="B57" s="3"/>
      <c r="C57" s="3" t="s">
        <v>703</v>
      </c>
      <c r="D57" s="3" t="s">
        <v>645</v>
      </c>
      <c r="E57" s="3"/>
      <c r="F57" s="3" t="s">
        <v>668</v>
      </c>
      <c r="G57" s="3"/>
      <c r="H57" s="3"/>
      <c r="I57" s="3"/>
      <c r="J57" s="3" t="s">
        <v>664</v>
      </c>
    </row>
    <row r="59">
      <c r="A59" s="3" t="s">
        <v>434</v>
      </c>
      <c r="B59" s="3"/>
      <c r="C59" s="3" t="s">
        <v>704</v>
      </c>
      <c r="F59" s="3" t="s">
        <v>668</v>
      </c>
      <c r="J59" s="3" t="s">
        <v>664</v>
      </c>
    </row>
    <row r="61">
      <c r="A61" s="3" t="s">
        <v>446</v>
      </c>
      <c r="B61" s="3"/>
      <c r="C61" s="3" t="s">
        <v>705</v>
      </c>
      <c r="D61" s="3" t="s">
        <v>645</v>
      </c>
      <c r="E61" s="3"/>
      <c r="F61" s="3" t="s">
        <v>668</v>
      </c>
      <c r="G61" s="3"/>
      <c r="H61" s="3"/>
      <c r="I61" s="3"/>
      <c r="J61" s="3" t="s">
        <v>664</v>
      </c>
    </row>
    <row r="63">
      <c r="A63" s="3" t="s">
        <v>459</v>
      </c>
      <c r="B63" s="3"/>
      <c r="C63" s="3" t="s">
        <v>706</v>
      </c>
      <c r="D63" s="3" t="s">
        <v>645</v>
      </c>
      <c r="E63" s="3"/>
      <c r="F63" s="3" t="s">
        <v>706</v>
      </c>
      <c r="G63" s="3" t="s">
        <v>645</v>
      </c>
      <c r="H63" s="3"/>
      <c r="I63" s="3"/>
      <c r="J63" s="3" t="s">
        <v>707</v>
      </c>
    </row>
    <row r="65">
      <c r="A65" s="3" t="s">
        <v>472</v>
      </c>
      <c r="B65" s="3"/>
      <c r="C65" s="3" t="s">
        <v>708</v>
      </c>
      <c r="D65" s="3" t="s">
        <v>645</v>
      </c>
      <c r="E65" s="3"/>
      <c r="F65" s="3" t="s">
        <v>709</v>
      </c>
      <c r="G65" s="3"/>
      <c r="H65" s="3"/>
      <c r="I65" s="3"/>
      <c r="J65" s="3" t="s">
        <v>710</v>
      </c>
      <c r="K65" s="3" t="s">
        <v>645</v>
      </c>
    </row>
    <row r="67">
      <c r="A67" s="54" t="s">
        <v>711</v>
      </c>
      <c r="B67" s="3"/>
      <c r="C67" s="3" t="s">
        <v>712</v>
      </c>
      <c r="F67" s="3" t="s">
        <v>713</v>
      </c>
      <c r="J67" s="3" t="s">
        <v>714</v>
      </c>
    </row>
    <row r="69">
      <c r="A69" s="3" t="s">
        <v>497</v>
      </c>
      <c r="B69" s="3"/>
      <c r="C69" s="3" t="s">
        <v>715</v>
      </c>
      <c r="D69" s="3" t="s">
        <v>645</v>
      </c>
      <c r="E69" s="3"/>
      <c r="F69" s="3" t="s">
        <v>716</v>
      </c>
      <c r="G69" s="3" t="s">
        <v>645</v>
      </c>
      <c r="H69" s="3"/>
      <c r="I69" s="3"/>
      <c r="J69" s="3" t="s">
        <v>717</v>
      </c>
      <c r="K69" s="3" t="s">
        <v>645</v>
      </c>
    </row>
    <row r="71">
      <c r="A71" s="3" t="s">
        <v>513</v>
      </c>
      <c r="B71" s="3"/>
      <c r="C71" s="3" t="s">
        <v>718</v>
      </c>
      <c r="D71" s="3" t="s">
        <v>645</v>
      </c>
      <c r="E71" s="3"/>
      <c r="F71" s="3"/>
      <c r="G71" s="3"/>
      <c r="H71" s="3"/>
      <c r="I71" s="3"/>
      <c r="J71" s="3" t="s">
        <v>664</v>
      </c>
    </row>
    <row r="72">
      <c r="F72" s="3" t="s">
        <v>668</v>
      </c>
    </row>
  </sheetData>
  <mergeCells count="11">
    <mergeCell ref="H1:H2"/>
    <mergeCell ref="I1:I2"/>
    <mergeCell ref="J1:J2"/>
    <mergeCell ref="K1:K2"/>
    <mergeCell ref="A1:A2"/>
    <mergeCell ref="B1:B2"/>
    <mergeCell ref="C1:C2"/>
    <mergeCell ref="D1:D2"/>
    <mergeCell ref="E1:E2"/>
    <mergeCell ref="F1:F2"/>
    <mergeCell ref="G1:G2"/>
  </mergeCells>
  <hyperlinks>
    <hyperlink r:id="rId1" ref="A6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2.0"/>
  </cols>
  <sheetData>
    <row r="1">
      <c r="A1" s="3" t="s">
        <v>719</v>
      </c>
      <c r="B1" s="3" t="s">
        <v>720</v>
      </c>
    </row>
    <row r="2">
      <c r="A2" s="3" t="s">
        <v>721</v>
      </c>
    </row>
    <row r="3">
      <c r="A3" s="3" t="s">
        <v>722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78.25"/>
    <col customWidth="1" min="3" max="3" width="53.63"/>
  </cols>
  <sheetData>
    <row r="1">
      <c r="A1" s="1"/>
      <c r="B1" s="19" t="s">
        <v>723</v>
      </c>
    </row>
    <row r="2">
      <c r="A2" s="1"/>
      <c r="B2" s="3" t="s">
        <v>724</v>
      </c>
      <c r="C2" s="3" t="s">
        <v>725</v>
      </c>
    </row>
    <row r="3">
      <c r="A3" s="4" t="s">
        <v>15</v>
      </c>
    </row>
    <row r="4">
      <c r="A4" s="7" t="s">
        <v>17</v>
      </c>
      <c r="B4" s="3" t="s">
        <v>726</v>
      </c>
      <c r="C4" s="3" t="s">
        <v>727</v>
      </c>
    </row>
    <row r="5">
      <c r="A5" s="13"/>
    </row>
    <row r="6">
      <c r="A6" s="5"/>
    </row>
    <row r="7">
      <c r="A7" s="7" t="s">
        <v>44</v>
      </c>
      <c r="B7" s="3" t="s">
        <v>726</v>
      </c>
      <c r="C7" s="3" t="s">
        <v>727</v>
      </c>
    </row>
    <row r="8">
      <c r="A8" s="13"/>
    </row>
    <row r="9">
      <c r="A9" s="5"/>
    </row>
    <row r="10">
      <c r="A10" s="20" t="s">
        <v>58</v>
      </c>
      <c r="B10" s="3" t="s">
        <v>726</v>
      </c>
      <c r="C10" s="3" t="s">
        <v>728</v>
      </c>
    </row>
    <row r="12">
      <c r="A12" s="5"/>
    </row>
    <row r="13">
      <c r="A13" s="23" t="s">
        <v>71</v>
      </c>
      <c r="B13" s="3" t="s">
        <v>726</v>
      </c>
      <c r="C13" s="3" t="s">
        <v>728</v>
      </c>
    </row>
    <row r="14">
      <c r="A14" s="25" t="s">
        <v>81</v>
      </c>
    </row>
    <row r="16">
      <c r="A16" s="7" t="s">
        <v>86</v>
      </c>
      <c r="B16" s="3" t="s">
        <v>726</v>
      </c>
      <c r="C16" s="3" t="s">
        <v>728</v>
      </c>
    </row>
    <row r="17">
      <c r="A17" s="13"/>
    </row>
    <row r="19">
      <c r="A19" s="23"/>
      <c r="B19" s="3" t="s">
        <v>729</v>
      </c>
      <c r="C19" s="3" t="s">
        <v>728</v>
      </c>
    </row>
    <row r="20">
      <c r="A20" s="23" t="s">
        <v>101</v>
      </c>
    </row>
    <row r="21">
      <c r="A21" s="25" t="s">
        <v>81</v>
      </c>
    </row>
    <row r="23">
      <c r="A23" s="7" t="s">
        <v>115</v>
      </c>
      <c r="B23" s="3" t="s">
        <v>726</v>
      </c>
      <c r="C23" s="3" t="s">
        <v>728</v>
      </c>
    </row>
    <row r="24">
      <c r="A24" s="13"/>
    </row>
    <row r="26">
      <c r="C26" s="3" t="s">
        <v>728</v>
      </c>
    </row>
    <row r="27">
      <c r="A27" s="7" t="s">
        <v>129</v>
      </c>
      <c r="B27" s="3" t="s">
        <v>726</v>
      </c>
    </row>
    <row r="28">
      <c r="A28" s="13"/>
    </row>
    <row r="29">
      <c r="C29" s="3" t="s">
        <v>728</v>
      </c>
    </row>
    <row r="30">
      <c r="A30" s="23" t="s">
        <v>142</v>
      </c>
      <c r="B30" s="3" t="s">
        <v>726</v>
      </c>
    </row>
    <row r="31">
      <c r="A31" s="25"/>
    </row>
    <row r="32">
      <c r="C32" s="3" t="s">
        <v>728</v>
      </c>
    </row>
    <row r="33">
      <c r="A33" s="7" t="s">
        <v>157</v>
      </c>
      <c r="B33" s="3" t="s">
        <v>726</v>
      </c>
    </row>
    <row r="34">
      <c r="A34" s="13"/>
    </row>
    <row r="35">
      <c r="C35" s="3" t="s">
        <v>728</v>
      </c>
    </row>
    <row r="36">
      <c r="A36" s="7" t="s">
        <v>170</v>
      </c>
      <c r="B36" s="3" t="s">
        <v>726</v>
      </c>
    </row>
    <row r="37">
      <c r="A37" s="13"/>
    </row>
    <row r="38">
      <c r="C38" s="3" t="s">
        <v>728</v>
      </c>
    </row>
    <row r="39">
      <c r="A39" s="7" t="s">
        <v>186</v>
      </c>
      <c r="B39" s="3" t="s">
        <v>726</v>
      </c>
    </row>
    <row r="40">
      <c r="A40" s="13"/>
    </row>
    <row r="41">
      <c r="C41" s="3" t="s">
        <v>728</v>
      </c>
    </row>
    <row r="42">
      <c r="A42" s="7" t="s">
        <v>199</v>
      </c>
      <c r="B42" s="3" t="s">
        <v>726</v>
      </c>
    </row>
    <row r="43">
      <c r="A43" s="13"/>
    </row>
    <row r="45">
      <c r="A45" s="23" t="s">
        <v>214</v>
      </c>
      <c r="B45" s="3" t="s">
        <v>726</v>
      </c>
      <c r="C45" s="3" t="s">
        <v>728</v>
      </c>
    </row>
    <row r="46">
      <c r="A46" s="25" t="s">
        <v>81</v>
      </c>
    </row>
    <row r="47">
      <c r="C47" s="3" t="s">
        <v>728</v>
      </c>
    </row>
    <row r="48">
      <c r="A48" s="23" t="s">
        <v>230</v>
      </c>
      <c r="B48" s="3" t="s">
        <v>726</v>
      </c>
    </row>
    <row r="49">
      <c r="A49" s="25"/>
    </row>
    <row r="50">
      <c r="C50" s="3" t="s">
        <v>728</v>
      </c>
    </row>
    <row r="51">
      <c r="A51" s="23" t="s">
        <v>244</v>
      </c>
      <c r="B51" s="3" t="s">
        <v>726</v>
      </c>
    </row>
    <row r="52">
      <c r="A52" s="25"/>
    </row>
    <row r="53">
      <c r="C53" s="3" t="s">
        <v>728</v>
      </c>
    </row>
    <row r="54">
      <c r="A54" s="23" t="s">
        <v>259</v>
      </c>
      <c r="B54" s="3" t="s">
        <v>726</v>
      </c>
    </row>
    <row r="55">
      <c r="A55" s="25"/>
    </row>
    <row r="57">
      <c r="A57" s="23" t="s">
        <v>274</v>
      </c>
      <c r="B57" s="55" t="s">
        <v>730</v>
      </c>
    </row>
    <row r="58">
      <c r="A58" s="25"/>
    </row>
    <row r="60">
      <c r="A60" s="23" t="s">
        <v>290</v>
      </c>
      <c r="B60" s="55" t="s">
        <v>730</v>
      </c>
    </row>
    <row r="61">
      <c r="A61" s="25"/>
    </row>
    <row r="62">
      <c r="A62" s="23"/>
    </row>
    <row r="63">
      <c r="A63" s="23" t="s">
        <v>305</v>
      </c>
      <c r="B63" s="55" t="s">
        <v>730</v>
      </c>
    </row>
    <row r="64">
      <c r="A64" s="25"/>
    </row>
    <row r="65">
      <c r="A65" s="23"/>
    </row>
    <row r="66">
      <c r="A66" s="7" t="s">
        <v>323</v>
      </c>
      <c r="B66" s="3" t="s">
        <v>726</v>
      </c>
      <c r="C66" s="3" t="s">
        <v>728</v>
      </c>
    </row>
    <row r="67">
      <c r="A67" s="13"/>
    </row>
    <row r="69">
      <c r="A69" s="23" t="s">
        <v>337</v>
      </c>
      <c r="B69" s="3" t="s">
        <v>726</v>
      </c>
      <c r="C69" s="3" t="s">
        <v>728</v>
      </c>
    </row>
    <row r="70">
      <c r="A70" s="25"/>
    </row>
    <row r="72">
      <c r="A72" s="23" t="s">
        <v>351</v>
      </c>
      <c r="B72" s="3" t="s">
        <v>726</v>
      </c>
      <c r="C72" s="3" t="s">
        <v>728</v>
      </c>
    </row>
    <row r="73">
      <c r="A73" s="25"/>
    </row>
    <row r="75">
      <c r="A75" s="23" t="s">
        <v>363</v>
      </c>
      <c r="B75" s="3" t="s">
        <v>726</v>
      </c>
      <c r="C75" s="3" t="s">
        <v>728</v>
      </c>
    </row>
    <row r="76">
      <c r="A76" s="25"/>
    </row>
    <row r="79">
      <c r="A79" s="7" t="s">
        <v>377</v>
      </c>
      <c r="B79" s="3" t="s">
        <v>731</v>
      </c>
      <c r="C79" s="3" t="s">
        <v>732</v>
      </c>
    </row>
    <row r="80">
      <c r="A80" s="13"/>
    </row>
    <row r="82">
      <c r="C82" s="3" t="s">
        <v>732</v>
      </c>
    </row>
    <row r="83">
      <c r="A83" s="7" t="s">
        <v>392</v>
      </c>
      <c r="B83" s="3" t="s">
        <v>731</v>
      </c>
    </row>
    <row r="84">
      <c r="A84" s="13"/>
    </row>
    <row r="86">
      <c r="A86" s="7" t="s">
        <v>404</v>
      </c>
      <c r="B86" s="3" t="s">
        <v>726</v>
      </c>
      <c r="C86" s="3" t="s">
        <v>728</v>
      </c>
    </row>
    <row r="87">
      <c r="A87" s="13"/>
    </row>
    <row r="89">
      <c r="A89" s="7" t="s">
        <v>420</v>
      </c>
      <c r="B89" s="3" t="s">
        <v>731</v>
      </c>
    </row>
    <row r="90">
      <c r="A90" s="13"/>
    </row>
    <row r="92">
      <c r="A92" s="7" t="s">
        <v>434</v>
      </c>
      <c r="B92" s="3" t="s">
        <v>731</v>
      </c>
    </row>
    <row r="93">
      <c r="A93" s="13"/>
    </row>
    <row r="96">
      <c r="A96" s="7" t="s">
        <v>446</v>
      </c>
      <c r="B96" s="3" t="s">
        <v>731</v>
      </c>
    </row>
    <row r="97">
      <c r="A97" s="13"/>
    </row>
    <row r="99">
      <c r="A99" s="3" t="s">
        <v>459</v>
      </c>
      <c r="B99" s="3" t="s">
        <v>733</v>
      </c>
    </row>
    <row r="101">
      <c r="A101" s="3" t="s">
        <v>472</v>
      </c>
      <c r="B101" s="3" t="s">
        <v>726</v>
      </c>
      <c r="C101" s="3" t="s">
        <v>728</v>
      </c>
    </row>
    <row r="103">
      <c r="C103" s="3" t="s">
        <v>728</v>
      </c>
    </row>
    <row r="104">
      <c r="A104" s="19" t="s">
        <v>734</v>
      </c>
      <c r="B104" s="3" t="s">
        <v>726</v>
      </c>
    </row>
    <row r="106">
      <c r="A106" s="3" t="s">
        <v>497</v>
      </c>
      <c r="B106" s="3" t="s">
        <v>726</v>
      </c>
      <c r="C106" s="3" t="s">
        <v>728</v>
      </c>
    </row>
    <row r="108">
      <c r="A108" s="3" t="s">
        <v>513</v>
      </c>
      <c r="B108" s="3" t="s">
        <v>731</v>
      </c>
    </row>
    <row r="114">
      <c r="A114" s="3" t="s">
        <v>735</v>
      </c>
    </row>
  </sheetData>
  <mergeCells count="18">
    <mergeCell ref="B1:E1"/>
    <mergeCell ref="A4:A5"/>
    <mergeCell ref="A7:A8"/>
    <mergeCell ref="A10:A11"/>
    <mergeCell ref="A16:A17"/>
    <mergeCell ref="A23:A24"/>
    <mergeCell ref="A27:A28"/>
    <mergeCell ref="A86:A87"/>
    <mergeCell ref="A89:A90"/>
    <mergeCell ref="A92:A93"/>
    <mergeCell ref="A96:A97"/>
    <mergeCell ref="A33:A34"/>
    <mergeCell ref="A36:A37"/>
    <mergeCell ref="A39:A40"/>
    <mergeCell ref="A42:A43"/>
    <mergeCell ref="A66:A67"/>
    <mergeCell ref="A79:A80"/>
    <mergeCell ref="A83:A84"/>
  </mergeCells>
  <hyperlinks>
    <hyperlink r:id="rId1" ref="B1"/>
    <hyperlink r:id="rId2" ref="A10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25"/>
    <col customWidth="1" min="2" max="2" width="32.25"/>
    <col customWidth="1" min="3" max="4" width="43.63"/>
    <col customWidth="1" min="5" max="5" width="52.63"/>
    <col customWidth="1" min="6" max="7" width="32.63"/>
    <col customWidth="1" min="8" max="8" width="36.0"/>
    <col customWidth="1" min="9" max="9" width="35.38"/>
    <col customWidth="1" min="10" max="10" width="38.13"/>
    <col customWidth="1" min="11" max="11" width="40.75"/>
  </cols>
  <sheetData>
    <row r="1">
      <c r="A1" s="1"/>
      <c r="B1" s="6" t="s">
        <v>736</v>
      </c>
      <c r="C1" s="3" t="s">
        <v>737</v>
      </c>
      <c r="D1" s="3" t="s">
        <v>2</v>
      </c>
      <c r="E1" s="3" t="s">
        <v>738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15</v>
      </c>
    </row>
    <row r="3">
      <c r="A3" s="7" t="s">
        <v>17</v>
      </c>
      <c r="B3" s="11" t="s">
        <v>28</v>
      </c>
      <c r="C3" s="11" t="s">
        <v>28</v>
      </c>
      <c r="D3" s="12" t="s">
        <v>29</v>
      </c>
      <c r="E3" s="12" t="s">
        <v>30</v>
      </c>
      <c r="F3" s="11" t="s">
        <v>31</v>
      </c>
      <c r="G3" s="11" t="s">
        <v>31</v>
      </c>
      <c r="H3" s="11" t="s">
        <v>31</v>
      </c>
      <c r="I3" s="11" t="s">
        <v>32</v>
      </c>
      <c r="J3" s="3" t="s">
        <v>33</v>
      </c>
      <c r="K3" s="3" t="s">
        <v>33</v>
      </c>
    </row>
    <row r="4">
      <c r="A4" s="13"/>
      <c r="B4" s="6"/>
    </row>
    <row r="5">
      <c r="A5" s="5"/>
      <c r="B5" s="5"/>
    </row>
    <row r="6">
      <c r="A6" s="7" t="s">
        <v>44</v>
      </c>
      <c r="B6" s="11" t="s">
        <v>45</v>
      </c>
      <c r="C6" s="11" t="s">
        <v>45</v>
      </c>
      <c r="D6" s="16" t="s">
        <v>46</v>
      </c>
      <c r="E6" s="11" t="s">
        <v>31</v>
      </c>
      <c r="F6" s="11" t="s">
        <v>47</v>
      </c>
      <c r="G6" s="11" t="s">
        <v>48</v>
      </c>
      <c r="H6" s="17" t="s">
        <v>49</v>
      </c>
      <c r="I6" s="11" t="s">
        <v>48</v>
      </c>
      <c r="J6" s="3" t="s">
        <v>50</v>
      </c>
      <c r="K6" s="3" t="s">
        <v>50</v>
      </c>
    </row>
    <row r="7">
      <c r="A7" s="13"/>
    </row>
    <row r="8">
      <c r="A8" s="5"/>
      <c r="B8" s="5"/>
    </row>
    <row r="9">
      <c r="A9" s="20" t="s">
        <v>58</v>
      </c>
      <c r="B9" s="11" t="s">
        <v>73</v>
      </c>
      <c r="C9" s="12" t="s">
        <v>30</v>
      </c>
      <c r="D9" s="12" t="s">
        <v>59</v>
      </c>
      <c r="E9" s="12" t="s">
        <v>59</v>
      </c>
      <c r="F9" s="11" t="s">
        <v>60</v>
      </c>
      <c r="G9" s="11" t="s">
        <v>60</v>
      </c>
      <c r="H9" s="17" t="s">
        <v>61</v>
      </c>
      <c r="I9" s="21" t="s">
        <v>62</v>
      </c>
      <c r="J9" s="3" t="s">
        <v>63</v>
      </c>
      <c r="K9" s="3" t="s">
        <v>63</v>
      </c>
    </row>
    <row r="11">
      <c r="A11" s="5"/>
    </row>
    <row r="12">
      <c r="A12" s="23" t="s">
        <v>71</v>
      </c>
      <c r="B12" s="11" t="s">
        <v>87</v>
      </c>
      <c r="C12" s="11" t="s">
        <v>73</v>
      </c>
      <c r="D12" s="11" t="s">
        <v>31</v>
      </c>
      <c r="E12" s="11" t="s">
        <v>48</v>
      </c>
      <c r="F12" s="11" t="s">
        <v>74</v>
      </c>
      <c r="G12" s="11" t="s">
        <v>74</v>
      </c>
      <c r="H12" s="17" t="s">
        <v>75</v>
      </c>
      <c r="I12" s="11" t="s">
        <v>76</v>
      </c>
      <c r="J12" s="3" t="s">
        <v>74</v>
      </c>
      <c r="K12" s="3" t="s">
        <v>74</v>
      </c>
    </row>
    <row r="13">
      <c r="A13" s="25" t="s">
        <v>81</v>
      </c>
    </row>
    <row r="15">
      <c r="A15" s="7" t="s">
        <v>86</v>
      </c>
      <c r="B15" s="11" t="s">
        <v>102</v>
      </c>
      <c r="C15" s="11" t="s">
        <v>87</v>
      </c>
      <c r="D15" s="12" t="s">
        <v>88</v>
      </c>
      <c r="E15" s="12" t="s">
        <v>88</v>
      </c>
      <c r="F15" s="11" t="s">
        <v>89</v>
      </c>
      <c r="G15" s="11" t="s">
        <v>89</v>
      </c>
      <c r="H15" s="21" t="s">
        <v>90</v>
      </c>
      <c r="I15" s="21" t="s">
        <v>91</v>
      </c>
      <c r="J15" s="3" t="s">
        <v>92</v>
      </c>
      <c r="K15" s="3" t="s">
        <v>92</v>
      </c>
    </row>
    <row r="16">
      <c r="A16" s="13"/>
    </row>
    <row r="18">
      <c r="A18" s="23"/>
      <c r="B18" s="6"/>
    </row>
    <row r="19">
      <c r="A19" s="23" t="s">
        <v>101</v>
      </c>
      <c r="B19" s="11" t="s">
        <v>116</v>
      </c>
      <c r="C19" s="11" t="s">
        <v>102</v>
      </c>
      <c r="D19" s="16" t="s">
        <v>103</v>
      </c>
      <c r="E19" s="12" t="s">
        <v>104</v>
      </c>
      <c r="F19" s="3" t="s">
        <v>105</v>
      </c>
      <c r="G19" s="3" t="s">
        <v>105</v>
      </c>
      <c r="H19" s="3" t="s">
        <v>106</v>
      </c>
      <c r="I19" s="3" t="s">
        <v>106</v>
      </c>
      <c r="J19" s="3" t="s">
        <v>107</v>
      </c>
      <c r="K19" s="3" t="s">
        <v>107</v>
      </c>
    </row>
    <row r="20">
      <c r="A20" s="25" t="s">
        <v>81</v>
      </c>
    </row>
    <row r="22">
      <c r="A22" s="7" t="s">
        <v>115</v>
      </c>
      <c r="B22" s="11" t="s">
        <v>130</v>
      </c>
      <c r="C22" s="11" t="s">
        <v>116</v>
      </c>
      <c r="D22" s="11" t="s">
        <v>47</v>
      </c>
      <c r="E22" s="11" t="s">
        <v>117</v>
      </c>
      <c r="F22" s="3" t="s">
        <v>118</v>
      </c>
      <c r="G22" s="3" t="s">
        <v>118</v>
      </c>
      <c r="H22" s="3" t="s">
        <v>119</v>
      </c>
      <c r="I22" s="3" t="s">
        <v>119</v>
      </c>
      <c r="J22" s="3" t="s">
        <v>120</v>
      </c>
      <c r="K22" s="3" t="s">
        <v>120</v>
      </c>
    </row>
    <row r="23">
      <c r="A23" s="13"/>
    </row>
    <row r="26">
      <c r="A26" s="7" t="s">
        <v>129</v>
      </c>
      <c r="B26" s="11" t="s">
        <v>158</v>
      </c>
      <c r="C26" s="11" t="s">
        <v>130</v>
      </c>
      <c r="D26" s="16" t="s">
        <v>131</v>
      </c>
      <c r="E26" s="12" t="s">
        <v>132</v>
      </c>
      <c r="F26" s="3" t="s">
        <v>133</v>
      </c>
      <c r="G26" s="3" t="s">
        <v>133</v>
      </c>
      <c r="H26" s="3" t="s">
        <v>134</v>
      </c>
      <c r="I26" s="19" t="s">
        <v>739</v>
      </c>
      <c r="J26" s="3" t="s">
        <v>136</v>
      </c>
      <c r="K26" s="3" t="s">
        <v>136</v>
      </c>
    </row>
    <row r="27">
      <c r="A27" s="13"/>
    </row>
    <row r="29">
      <c r="A29" s="23" t="s">
        <v>142</v>
      </c>
      <c r="B29" s="11" t="s">
        <v>171</v>
      </c>
      <c r="C29" s="12" t="s">
        <v>59</v>
      </c>
      <c r="D29" s="12" t="s">
        <v>144</v>
      </c>
      <c r="E29" s="12" t="s">
        <v>145</v>
      </c>
      <c r="F29" s="11" t="s">
        <v>146</v>
      </c>
      <c r="G29" s="21" t="s">
        <v>62</v>
      </c>
      <c r="H29" s="3" t="s">
        <v>147</v>
      </c>
      <c r="I29" s="3" t="s">
        <v>148</v>
      </c>
      <c r="J29" s="3" t="s">
        <v>149</v>
      </c>
      <c r="K29" s="3" t="s">
        <v>149</v>
      </c>
    </row>
    <row r="30">
      <c r="A30" s="25"/>
    </row>
    <row r="32">
      <c r="A32" s="7" t="s">
        <v>157</v>
      </c>
      <c r="B32" s="11" t="s">
        <v>187</v>
      </c>
      <c r="C32" s="11" t="s">
        <v>158</v>
      </c>
      <c r="D32" s="16" t="s">
        <v>159</v>
      </c>
      <c r="E32" s="12" t="s">
        <v>160</v>
      </c>
      <c r="F32" s="3" t="s">
        <v>161</v>
      </c>
      <c r="G32" s="3" t="s">
        <v>161</v>
      </c>
      <c r="H32" s="3" t="s">
        <v>162</v>
      </c>
      <c r="I32" s="3" t="s">
        <v>162</v>
      </c>
      <c r="J32" s="3" t="s">
        <v>163</v>
      </c>
      <c r="K32" s="3" t="s">
        <v>164</v>
      </c>
    </row>
    <row r="33">
      <c r="A33" s="13"/>
    </row>
    <row r="35">
      <c r="A35" s="7" t="s">
        <v>170</v>
      </c>
      <c r="B35" s="11" t="s">
        <v>200</v>
      </c>
      <c r="C35" s="11" t="s">
        <v>171</v>
      </c>
      <c r="D35" s="11" t="s">
        <v>76</v>
      </c>
      <c r="E35" s="11" t="s">
        <v>172</v>
      </c>
      <c r="F35" s="11" t="s">
        <v>173</v>
      </c>
      <c r="G35" s="11" t="s">
        <v>146</v>
      </c>
      <c r="H35" s="17" t="s">
        <v>174</v>
      </c>
      <c r="I35" s="11" t="s">
        <v>175</v>
      </c>
      <c r="J35" s="3" t="s">
        <v>176</v>
      </c>
      <c r="K35" s="3" t="s">
        <v>176</v>
      </c>
    </row>
    <row r="36">
      <c r="A36" s="13"/>
    </row>
    <row r="38">
      <c r="A38" s="7" t="s">
        <v>186</v>
      </c>
      <c r="B38" s="11" t="s">
        <v>215</v>
      </c>
      <c r="C38" s="11" t="s">
        <v>740</v>
      </c>
      <c r="D38" s="12" t="s">
        <v>188</v>
      </c>
      <c r="E38" s="12" t="s">
        <v>189</v>
      </c>
      <c r="F38" s="11" t="s">
        <v>190</v>
      </c>
      <c r="G38" s="11" t="s">
        <v>173</v>
      </c>
      <c r="H38" s="3" t="s">
        <v>191</v>
      </c>
      <c r="I38" s="3" t="s">
        <v>191</v>
      </c>
      <c r="J38" s="3" t="s">
        <v>192</v>
      </c>
      <c r="K38" s="3" t="s">
        <v>192</v>
      </c>
    </row>
    <row r="39">
      <c r="A39" s="13"/>
    </row>
    <row r="41">
      <c r="A41" s="7" t="s">
        <v>199</v>
      </c>
      <c r="B41" s="11" t="s">
        <v>231</v>
      </c>
      <c r="C41" s="11" t="s">
        <v>200</v>
      </c>
      <c r="D41" s="16" t="s">
        <v>201</v>
      </c>
      <c r="E41" s="11" t="s">
        <v>202</v>
      </c>
      <c r="F41" s="11" t="s">
        <v>203</v>
      </c>
      <c r="G41" s="21" t="s">
        <v>91</v>
      </c>
      <c r="H41" s="11" t="s">
        <v>45</v>
      </c>
      <c r="I41" s="11" t="s">
        <v>204</v>
      </c>
      <c r="J41" s="3" t="s">
        <v>205</v>
      </c>
      <c r="K41" s="3" t="s">
        <v>205</v>
      </c>
    </row>
    <row r="42">
      <c r="A42" s="13"/>
    </row>
    <row r="44">
      <c r="A44" s="23" t="s">
        <v>214</v>
      </c>
      <c r="B44" s="11" t="s">
        <v>245</v>
      </c>
      <c r="C44" s="11" t="s">
        <v>215</v>
      </c>
      <c r="D44" s="11" t="s">
        <v>172</v>
      </c>
      <c r="E44" s="11" t="s">
        <v>216</v>
      </c>
      <c r="F44" s="11" t="s">
        <v>217</v>
      </c>
      <c r="G44" s="11" t="s">
        <v>190</v>
      </c>
      <c r="H44" s="11" t="s">
        <v>73</v>
      </c>
      <c r="I44" s="11" t="s">
        <v>218</v>
      </c>
      <c r="J44" s="3" t="s">
        <v>219</v>
      </c>
      <c r="K44" s="3" t="s">
        <v>219</v>
      </c>
    </row>
    <row r="45">
      <c r="A45" s="25" t="s">
        <v>81</v>
      </c>
    </row>
    <row r="47">
      <c r="A47" s="23" t="s">
        <v>230</v>
      </c>
      <c r="B47" s="11" t="s">
        <v>260</v>
      </c>
      <c r="C47" s="11" t="s">
        <v>231</v>
      </c>
      <c r="D47" s="11" t="s">
        <v>202</v>
      </c>
      <c r="E47" s="11" t="s">
        <v>232</v>
      </c>
      <c r="F47" s="11" t="s">
        <v>233</v>
      </c>
      <c r="G47" s="11" t="s">
        <v>203</v>
      </c>
      <c r="H47" s="17" t="s">
        <v>234</v>
      </c>
      <c r="I47" s="11" t="s">
        <v>130</v>
      </c>
      <c r="J47" s="3" t="s">
        <v>235</v>
      </c>
      <c r="K47" s="3" t="s">
        <v>235</v>
      </c>
    </row>
    <row r="48">
      <c r="A48" s="25"/>
    </row>
    <row r="50">
      <c r="A50" s="23" t="s">
        <v>244</v>
      </c>
      <c r="B50" s="11" t="s">
        <v>275</v>
      </c>
      <c r="C50" s="11" t="s">
        <v>245</v>
      </c>
      <c r="D50" s="3" t="s">
        <v>246</v>
      </c>
      <c r="E50" s="3" t="s">
        <v>247</v>
      </c>
      <c r="F50" s="3" t="s">
        <v>247</v>
      </c>
      <c r="G50" s="3" t="s">
        <v>247</v>
      </c>
      <c r="H50" s="3" t="s">
        <v>248</v>
      </c>
      <c r="I50" s="3" t="s">
        <v>248</v>
      </c>
      <c r="J50" s="3" t="s">
        <v>249</v>
      </c>
      <c r="K50" s="3" t="s">
        <v>250</v>
      </c>
    </row>
    <row r="51">
      <c r="A51" s="25"/>
    </row>
    <row r="53">
      <c r="A53" s="23" t="s">
        <v>259</v>
      </c>
      <c r="B53" s="11" t="s">
        <v>306</v>
      </c>
      <c r="C53" s="11" t="s">
        <v>260</v>
      </c>
      <c r="D53" s="16" t="s">
        <v>261</v>
      </c>
      <c r="E53" s="12" t="s">
        <v>262</v>
      </c>
      <c r="F53" s="3" t="s">
        <v>263</v>
      </c>
      <c r="G53" s="3" t="s">
        <v>263</v>
      </c>
      <c r="H53" s="3" t="s">
        <v>264</v>
      </c>
      <c r="I53" s="3" t="s">
        <v>265</v>
      </c>
      <c r="J53" s="3" t="s">
        <v>266</v>
      </c>
      <c r="K53" s="3" t="s">
        <v>267</v>
      </c>
    </row>
    <row r="54">
      <c r="A54" s="25"/>
    </row>
    <row r="56">
      <c r="A56" s="23" t="s">
        <v>274</v>
      </c>
      <c r="B56" s="11" t="s">
        <v>338</v>
      </c>
      <c r="C56" s="11" t="s">
        <v>275</v>
      </c>
      <c r="D56" s="12" t="s">
        <v>276</v>
      </c>
      <c r="E56" s="12" t="s">
        <v>277</v>
      </c>
      <c r="F56" s="11" t="s">
        <v>278</v>
      </c>
      <c r="G56" s="11" t="s">
        <v>217</v>
      </c>
      <c r="H56" s="11" t="s">
        <v>175</v>
      </c>
      <c r="I56" s="11" t="s">
        <v>279</v>
      </c>
      <c r="J56" s="3" t="s">
        <v>280</v>
      </c>
      <c r="K56" s="21" t="s">
        <v>281</v>
      </c>
    </row>
    <row r="57">
      <c r="A57" s="25"/>
    </row>
    <row r="59">
      <c r="A59" s="23" t="s">
        <v>290</v>
      </c>
      <c r="B59" s="11" t="s">
        <v>352</v>
      </c>
      <c r="C59" s="16" t="s">
        <v>291</v>
      </c>
      <c r="D59" s="16" t="s">
        <v>292</v>
      </c>
      <c r="E59" s="11" t="s">
        <v>293</v>
      </c>
      <c r="F59" s="3" t="s">
        <v>294</v>
      </c>
      <c r="G59" s="3" t="s">
        <v>294</v>
      </c>
      <c r="H59" s="17" t="s">
        <v>295</v>
      </c>
      <c r="I59" s="11" t="s">
        <v>296</v>
      </c>
      <c r="J59" s="3" t="s">
        <v>297</v>
      </c>
      <c r="K59" s="3" t="s">
        <v>59</v>
      </c>
    </row>
    <row r="60">
      <c r="A60" s="25"/>
    </row>
    <row r="61">
      <c r="A61" s="23"/>
      <c r="B61" s="6"/>
      <c r="C61" s="32"/>
      <c r="D61" s="32"/>
      <c r="E61" s="32"/>
      <c r="F61" s="3"/>
      <c r="G61" s="3"/>
    </row>
    <row r="62">
      <c r="A62" s="23" t="s">
        <v>305</v>
      </c>
      <c r="B62" s="11" t="s">
        <v>364</v>
      </c>
      <c r="C62" s="11" t="s">
        <v>306</v>
      </c>
      <c r="D62" s="16" t="s">
        <v>307</v>
      </c>
      <c r="E62" s="12" t="s">
        <v>308</v>
      </c>
      <c r="F62" s="3" t="s">
        <v>309</v>
      </c>
      <c r="G62" s="3" t="s">
        <v>309</v>
      </c>
      <c r="H62" s="3" t="s">
        <v>310</v>
      </c>
      <c r="I62" s="3" t="s">
        <v>310</v>
      </c>
      <c r="J62" s="3" t="s">
        <v>311</v>
      </c>
      <c r="K62" s="3" t="s">
        <v>312</v>
      </c>
    </row>
    <row r="63">
      <c r="A63" s="25"/>
      <c r="C63" s="32"/>
      <c r="D63" s="32"/>
      <c r="E63" s="32"/>
      <c r="F63" s="3"/>
      <c r="G63" s="3"/>
    </row>
    <row r="64">
      <c r="A64" s="23"/>
      <c r="B64" s="6"/>
      <c r="C64" s="32"/>
      <c r="D64" s="32"/>
      <c r="E64" s="32"/>
      <c r="F64" s="3"/>
      <c r="G64" s="3"/>
    </row>
    <row r="65">
      <c r="A65" s="7" t="s">
        <v>323</v>
      </c>
      <c r="B65" s="11" t="s">
        <v>461</v>
      </c>
      <c r="C65" s="12" t="s">
        <v>88</v>
      </c>
      <c r="D65" s="16" t="s">
        <v>324</v>
      </c>
      <c r="E65" s="12" t="s">
        <v>325</v>
      </c>
      <c r="F65" s="17" t="s">
        <v>30</v>
      </c>
      <c r="G65" s="17" t="s">
        <v>88</v>
      </c>
      <c r="H65" s="21" t="s">
        <v>326</v>
      </c>
      <c r="I65" s="21" t="s">
        <v>327</v>
      </c>
      <c r="J65" s="3" t="s">
        <v>328</v>
      </c>
      <c r="K65" s="3" t="s">
        <v>329</v>
      </c>
    </row>
    <row r="66">
      <c r="A66" s="13"/>
    </row>
    <row r="68">
      <c r="A68" s="23" t="s">
        <v>337</v>
      </c>
      <c r="B68" s="14" t="s">
        <v>474</v>
      </c>
      <c r="C68" s="11" t="s">
        <v>338</v>
      </c>
      <c r="D68" s="16" t="s">
        <v>339</v>
      </c>
      <c r="E68" s="12" t="s">
        <v>340</v>
      </c>
      <c r="F68" s="3" t="s">
        <v>341</v>
      </c>
      <c r="G68" s="3" t="s">
        <v>341</v>
      </c>
      <c r="H68" s="3" t="s">
        <v>342</v>
      </c>
      <c r="I68" s="3" t="s">
        <v>343</v>
      </c>
      <c r="J68" s="3" t="s">
        <v>344</v>
      </c>
      <c r="K68" s="3" t="s">
        <v>345</v>
      </c>
    </row>
    <row r="69">
      <c r="A69" s="25"/>
    </row>
    <row r="71">
      <c r="A71" s="23" t="s">
        <v>351</v>
      </c>
      <c r="B71" s="34" t="s">
        <v>487</v>
      </c>
      <c r="C71" s="11" t="s">
        <v>352</v>
      </c>
      <c r="D71" s="11" t="s">
        <v>216</v>
      </c>
      <c r="E71" s="11" t="s">
        <v>353</v>
      </c>
      <c r="F71" s="3" t="s">
        <v>354</v>
      </c>
      <c r="G71" s="3" t="s">
        <v>354</v>
      </c>
      <c r="H71" s="3" t="s">
        <v>355</v>
      </c>
      <c r="I71" s="3" t="s">
        <v>355</v>
      </c>
      <c r="J71" s="3" t="s">
        <v>356</v>
      </c>
      <c r="K71" s="3" t="s">
        <v>280</v>
      </c>
    </row>
    <row r="72">
      <c r="A72" s="25"/>
    </row>
    <row r="74">
      <c r="A74" s="33" t="s">
        <v>363</v>
      </c>
      <c r="B74" s="34" t="s">
        <v>741</v>
      </c>
      <c r="C74" s="11" t="s">
        <v>364</v>
      </c>
      <c r="D74" s="11" t="s">
        <v>173</v>
      </c>
      <c r="E74" s="11" t="s">
        <v>365</v>
      </c>
      <c r="F74" s="11" t="s">
        <v>366</v>
      </c>
      <c r="G74" s="11" t="s">
        <v>233</v>
      </c>
      <c r="H74" s="3" t="s">
        <v>367</v>
      </c>
      <c r="I74" s="3" t="s">
        <v>367</v>
      </c>
      <c r="J74" s="3" t="s">
        <v>368</v>
      </c>
      <c r="K74" s="3" t="s">
        <v>369</v>
      </c>
    </row>
    <row r="75">
      <c r="A75" s="25"/>
    </row>
    <row r="78">
      <c r="A78" s="7" t="s">
        <v>377</v>
      </c>
      <c r="B78" s="36" t="s">
        <v>742</v>
      </c>
      <c r="C78" s="12" t="s">
        <v>104</v>
      </c>
      <c r="D78" s="12" t="s">
        <v>379</v>
      </c>
      <c r="E78" s="12" t="s">
        <v>380</v>
      </c>
      <c r="F78" s="3" t="s">
        <v>381</v>
      </c>
      <c r="G78" s="3" t="s">
        <v>381</v>
      </c>
      <c r="H78" s="3" t="s">
        <v>382</v>
      </c>
      <c r="I78" s="3" t="s">
        <v>382</v>
      </c>
      <c r="J78" s="3" t="s">
        <v>383</v>
      </c>
      <c r="K78" s="3" t="s">
        <v>384</v>
      </c>
    </row>
    <row r="79">
      <c r="A79" s="13"/>
    </row>
    <row r="82">
      <c r="A82" s="7" t="s">
        <v>392</v>
      </c>
      <c r="B82" s="36" t="s">
        <v>59</v>
      </c>
      <c r="C82" s="12" t="s">
        <v>393</v>
      </c>
      <c r="D82" s="16" t="s">
        <v>394</v>
      </c>
      <c r="E82" s="12" t="s">
        <v>395</v>
      </c>
      <c r="F82" s="3" t="s">
        <v>396</v>
      </c>
      <c r="G82" s="3" t="s">
        <v>396</v>
      </c>
      <c r="H82" s="3" t="s">
        <v>397</v>
      </c>
      <c r="I82" s="3" t="s">
        <v>397</v>
      </c>
      <c r="J82" s="3" t="s">
        <v>398</v>
      </c>
      <c r="K82" s="3" t="s">
        <v>399</v>
      </c>
    </row>
    <row r="83">
      <c r="A83" s="13"/>
    </row>
    <row r="85">
      <c r="A85" s="7" t="s">
        <v>404</v>
      </c>
      <c r="B85" s="34" t="s">
        <v>743</v>
      </c>
      <c r="C85" s="12" t="s">
        <v>405</v>
      </c>
      <c r="D85" s="16" t="s">
        <v>406</v>
      </c>
      <c r="E85" s="12" t="s">
        <v>407</v>
      </c>
      <c r="F85" s="11" t="s">
        <v>408</v>
      </c>
      <c r="G85" s="21" t="s">
        <v>90</v>
      </c>
      <c r="H85" s="17" t="s">
        <v>409</v>
      </c>
      <c r="I85" s="11" t="s">
        <v>410</v>
      </c>
      <c r="J85" s="3" t="s">
        <v>411</v>
      </c>
      <c r="K85" s="3" t="s">
        <v>412</v>
      </c>
    </row>
    <row r="86">
      <c r="A86" s="13"/>
    </row>
    <row r="88">
      <c r="A88" s="7" t="s">
        <v>420</v>
      </c>
      <c r="B88" s="36" t="s">
        <v>88</v>
      </c>
      <c r="C88" s="12" t="s">
        <v>422</v>
      </c>
      <c r="D88" s="38" t="s">
        <v>744</v>
      </c>
      <c r="E88" s="3" t="s">
        <v>424</v>
      </c>
      <c r="F88" s="3" t="s">
        <v>425</v>
      </c>
      <c r="G88" s="3" t="s">
        <v>425</v>
      </c>
      <c r="H88" s="3" t="s">
        <v>426</v>
      </c>
      <c r="I88" s="3" t="s">
        <v>426</v>
      </c>
      <c r="J88" s="3" t="s">
        <v>427</v>
      </c>
      <c r="K88" s="3" t="s">
        <v>428</v>
      </c>
    </row>
    <row r="89">
      <c r="A89" s="13"/>
    </row>
    <row r="91">
      <c r="A91" s="7" t="s">
        <v>434</v>
      </c>
      <c r="B91" s="36" t="s">
        <v>745</v>
      </c>
      <c r="C91" s="16" t="s">
        <v>435</v>
      </c>
      <c r="D91" s="56" t="s">
        <v>436</v>
      </c>
      <c r="E91" s="3" t="s">
        <v>437</v>
      </c>
      <c r="F91" s="3" t="s">
        <v>438</v>
      </c>
      <c r="G91" s="3" t="s">
        <v>438</v>
      </c>
      <c r="H91" s="3" t="s">
        <v>439</v>
      </c>
      <c r="I91" s="3" t="s">
        <v>439</v>
      </c>
      <c r="J91" s="3" t="s">
        <v>440</v>
      </c>
      <c r="K91" s="3" t="s">
        <v>441</v>
      </c>
    </row>
    <row r="92">
      <c r="A92" s="13"/>
    </row>
    <row r="95">
      <c r="A95" s="7" t="s">
        <v>446</v>
      </c>
      <c r="B95" s="36" t="s">
        <v>746</v>
      </c>
      <c r="C95" s="12" t="s">
        <v>189</v>
      </c>
      <c r="D95" s="12" t="s">
        <v>447</v>
      </c>
      <c r="E95" s="12" t="s">
        <v>448</v>
      </c>
      <c r="F95" s="3" t="s">
        <v>449</v>
      </c>
      <c r="G95" s="3" t="s">
        <v>449</v>
      </c>
      <c r="H95" s="3" t="s">
        <v>450</v>
      </c>
      <c r="I95" s="3" t="s">
        <v>450</v>
      </c>
      <c r="J95" s="3" t="s">
        <v>451</v>
      </c>
      <c r="K95" s="3" t="s">
        <v>452</v>
      </c>
    </row>
    <row r="96">
      <c r="A96" s="13"/>
    </row>
    <row r="98">
      <c r="A98" s="3" t="s">
        <v>459</v>
      </c>
      <c r="B98" s="11" t="s">
        <v>460</v>
      </c>
      <c r="C98" s="11" t="s">
        <v>461</v>
      </c>
      <c r="D98" s="39" t="s">
        <v>462</v>
      </c>
      <c r="E98" s="12" t="s">
        <v>463</v>
      </c>
      <c r="F98" s="11" t="s">
        <v>464</v>
      </c>
      <c r="G98" s="21" t="s">
        <v>465</v>
      </c>
      <c r="H98" s="11" t="s">
        <v>92</v>
      </c>
      <c r="I98" s="11" t="s">
        <v>466</v>
      </c>
      <c r="J98" s="3" t="s">
        <v>441</v>
      </c>
      <c r="K98" s="3" t="s">
        <v>467</v>
      </c>
    </row>
    <row r="100">
      <c r="A100" s="3" t="s">
        <v>472</v>
      </c>
      <c r="B100" s="11" t="s">
        <v>473</v>
      </c>
      <c r="C100" s="11" t="s">
        <v>474</v>
      </c>
      <c r="D100" s="11" t="s">
        <v>190</v>
      </c>
      <c r="E100" s="11" t="s">
        <v>475</v>
      </c>
      <c r="F100" s="11" t="s">
        <v>476</v>
      </c>
      <c r="G100" s="11" t="s">
        <v>278</v>
      </c>
      <c r="H100" s="11" t="s">
        <v>107</v>
      </c>
      <c r="I100" s="11" t="s">
        <v>477</v>
      </c>
      <c r="J100" s="3" t="s">
        <v>478</v>
      </c>
      <c r="K100" s="3" t="s">
        <v>479</v>
      </c>
    </row>
    <row r="103">
      <c r="A103" s="19" t="s">
        <v>734</v>
      </c>
      <c r="B103" s="11" t="s">
        <v>486</v>
      </c>
      <c r="C103" s="11" t="s">
        <v>487</v>
      </c>
      <c r="D103" s="11" t="s">
        <v>203</v>
      </c>
      <c r="E103" s="11" t="s">
        <v>488</v>
      </c>
      <c r="F103" s="11" t="s">
        <v>489</v>
      </c>
      <c r="G103" s="11" t="s">
        <v>366</v>
      </c>
      <c r="H103" s="21" t="s">
        <v>747</v>
      </c>
      <c r="I103" s="11" t="s">
        <v>205</v>
      </c>
      <c r="J103" s="3" t="s">
        <v>491</v>
      </c>
      <c r="K103" s="21" t="s">
        <v>492</v>
      </c>
    </row>
    <row r="104">
      <c r="J104" s="3"/>
    </row>
    <row r="105">
      <c r="A105" s="3" t="s">
        <v>497</v>
      </c>
      <c r="B105" s="3" t="s">
        <v>748</v>
      </c>
      <c r="C105" s="16" t="s">
        <v>499</v>
      </c>
      <c r="D105" s="19" t="s">
        <v>749</v>
      </c>
      <c r="E105" s="3" t="s">
        <v>501</v>
      </c>
      <c r="F105" s="3" t="s">
        <v>502</v>
      </c>
      <c r="G105" s="3" t="s">
        <v>502</v>
      </c>
      <c r="H105" s="21" t="s">
        <v>750</v>
      </c>
      <c r="I105" s="11" t="s">
        <v>504</v>
      </c>
      <c r="J105" s="3" t="s">
        <v>505</v>
      </c>
      <c r="K105" s="3" t="s">
        <v>506</v>
      </c>
    </row>
    <row r="107">
      <c r="A107" s="3" t="s">
        <v>513</v>
      </c>
      <c r="B107" s="3" t="s">
        <v>514</v>
      </c>
      <c r="C107" s="3" t="s">
        <v>515</v>
      </c>
      <c r="D107" s="3" t="s">
        <v>751</v>
      </c>
      <c r="E107" s="3" t="s">
        <v>752</v>
      </c>
      <c r="F107" s="19" t="s">
        <v>753</v>
      </c>
      <c r="G107" s="3" t="s">
        <v>753</v>
      </c>
      <c r="H107" s="3" t="s">
        <v>519</v>
      </c>
      <c r="I107" s="3" t="s">
        <v>519</v>
      </c>
      <c r="J107" s="3" t="s">
        <v>754</v>
      </c>
      <c r="K107" s="3" t="s">
        <v>755</v>
      </c>
    </row>
    <row r="109">
      <c r="B109" s="3" t="s">
        <v>756</v>
      </c>
      <c r="C109" s="3" t="s">
        <v>757</v>
      </c>
      <c r="D109" s="3" t="s">
        <v>758</v>
      </c>
      <c r="E109" s="3" t="s">
        <v>759</v>
      </c>
      <c r="F109" s="3" t="s">
        <v>760</v>
      </c>
      <c r="G109" s="3" t="s">
        <v>761</v>
      </c>
      <c r="H109" s="3" t="s">
        <v>762</v>
      </c>
      <c r="I109" s="3" t="s">
        <v>763</v>
      </c>
      <c r="J109" s="3" t="s">
        <v>764</v>
      </c>
      <c r="K109" s="3" t="s">
        <v>765</v>
      </c>
    </row>
    <row r="110">
      <c r="B110" s="3" t="s">
        <v>766</v>
      </c>
      <c r="C110" s="3" t="s">
        <v>767</v>
      </c>
      <c r="D110" s="3" t="s">
        <v>768</v>
      </c>
      <c r="E110" s="3" t="s">
        <v>769</v>
      </c>
      <c r="F110" s="3" t="s">
        <v>770</v>
      </c>
      <c r="G110" s="3" t="s">
        <v>771</v>
      </c>
      <c r="H110" s="3" t="s">
        <v>772</v>
      </c>
      <c r="I110" s="3" t="s">
        <v>773</v>
      </c>
      <c r="J110" s="3" t="s">
        <v>529</v>
      </c>
      <c r="K110" s="3" t="s">
        <v>772</v>
      </c>
    </row>
    <row r="111">
      <c r="B111" s="3" t="s">
        <v>774</v>
      </c>
      <c r="C111" s="3" t="s">
        <v>531</v>
      </c>
      <c r="D111" s="3" t="s">
        <v>775</v>
      </c>
      <c r="E111" s="3" t="s">
        <v>776</v>
      </c>
      <c r="F111" s="3" t="s">
        <v>777</v>
      </c>
      <c r="G111" s="3" t="s">
        <v>777</v>
      </c>
      <c r="H111" s="3" t="s">
        <v>778</v>
      </c>
      <c r="I111" s="3" t="s">
        <v>778</v>
      </c>
      <c r="J111" s="3" t="s">
        <v>777</v>
      </c>
      <c r="K111" s="3" t="s">
        <v>779</v>
      </c>
    </row>
    <row r="112">
      <c r="F112" s="3" t="s">
        <v>780</v>
      </c>
      <c r="G112" s="3" t="s">
        <v>780</v>
      </c>
      <c r="H112" s="3" t="s">
        <v>781</v>
      </c>
      <c r="I112" s="3" t="s">
        <v>781</v>
      </c>
    </row>
    <row r="113">
      <c r="A113" s="3" t="s">
        <v>735</v>
      </c>
      <c r="B113" s="3">
        <f>SUM(28,6,1)</f>
        <v>35</v>
      </c>
      <c r="C113" s="40">
        <f>SUM(23,9,3)</f>
        <v>35</v>
      </c>
      <c r="D113" s="40">
        <f>SUM(9,10,16)</f>
        <v>35</v>
      </c>
      <c r="E113" s="40">
        <f>SUM(12,19,4)</f>
        <v>35</v>
      </c>
      <c r="F113" s="40">
        <f>SUM(17,1,2,15)</f>
        <v>35</v>
      </c>
      <c r="G113" s="40">
        <f>sum(13,5,2,15)</f>
        <v>35</v>
      </c>
      <c r="H113" s="40">
        <f>sum(6,11,1,17)</f>
        <v>35</v>
      </c>
      <c r="I113" s="40">
        <f>SUM(14,3,1,17)</f>
        <v>35</v>
      </c>
      <c r="J113" s="40">
        <f>SUM(25,8,2)</f>
        <v>35</v>
      </c>
      <c r="K113" s="40">
        <f>SUM(21,11,3)</f>
        <v>35</v>
      </c>
    </row>
    <row r="116">
      <c r="B116" s="1" t="s">
        <v>719</v>
      </c>
      <c r="C116" s="1" t="s">
        <v>782</v>
      </c>
      <c r="D116" s="1" t="s">
        <v>783</v>
      </c>
      <c r="E116" s="1" t="s">
        <v>784</v>
      </c>
      <c r="F116" s="1" t="s">
        <v>663</v>
      </c>
      <c r="G116" s="1" t="s">
        <v>785</v>
      </c>
    </row>
    <row r="117">
      <c r="B117" s="1" t="s">
        <v>786</v>
      </c>
      <c r="C117" s="1">
        <v>28.0</v>
      </c>
      <c r="D117" s="1">
        <v>6.0</v>
      </c>
      <c r="E117" s="1">
        <v>1.0</v>
      </c>
      <c r="F117" s="1">
        <v>0.0</v>
      </c>
      <c r="G117" s="57">
        <f t="shared" ref="G117:G126" si="1">SUM(C117:F117)</f>
        <v>35</v>
      </c>
    </row>
    <row r="118">
      <c r="B118" s="1" t="s">
        <v>787</v>
      </c>
      <c r="C118" s="1">
        <v>23.0</v>
      </c>
      <c r="D118" s="1">
        <v>9.0</v>
      </c>
      <c r="E118" s="1">
        <v>3.0</v>
      </c>
      <c r="F118" s="1">
        <v>0.0</v>
      </c>
      <c r="G118" s="57">
        <f t="shared" si="1"/>
        <v>35</v>
      </c>
    </row>
    <row r="119">
      <c r="B119" s="1" t="s">
        <v>788</v>
      </c>
      <c r="C119" s="1">
        <v>12.0</v>
      </c>
      <c r="D119" s="1">
        <v>19.0</v>
      </c>
      <c r="E119" s="1">
        <v>4.0</v>
      </c>
      <c r="F119" s="1">
        <v>0.0</v>
      </c>
      <c r="G119" s="57">
        <f t="shared" si="1"/>
        <v>35</v>
      </c>
    </row>
    <row r="120">
      <c r="B120" s="1" t="s">
        <v>789</v>
      </c>
      <c r="C120" s="1">
        <v>9.0</v>
      </c>
      <c r="D120" s="1">
        <v>10.0</v>
      </c>
      <c r="E120" s="1">
        <v>16.0</v>
      </c>
      <c r="F120" s="1">
        <v>0.0</v>
      </c>
      <c r="G120" s="57">
        <f t="shared" si="1"/>
        <v>35</v>
      </c>
    </row>
    <row r="121">
      <c r="B121" s="1" t="s">
        <v>790</v>
      </c>
      <c r="C121" s="1">
        <v>17.0</v>
      </c>
      <c r="D121" s="1">
        <v>1.0</v>
      </c>
      <c r="E121" s="1">
        <v>2.0</v>
      </c>
      <c r="F121" s="1">
        <v>15.0</v>
      </c>
      <c r="G121" s="57">
        <f t="shared" si="1"/>
        <v>35</v>
      </c>
    </row>
    <row r="122">
      <c r="B122" s="1" t="s">
        <v>791</v>
      </c>
      <c r="C122" s="1">
        <v>13.0</v>
      </c>
      <c r="D122" s="1">
        <v>5.0</v>
      </c>
      <c r="E122" s="1">
        <v>2.0</v>
      </c>
      <c r="F122" s="1">
        <v>15.0</v>
      </c>
      <c r="G122" s="57">
        <f t="shared" si="1"/>
        <v>35</v>
      </c>
    </row>
    <row r="123">
      <c r="B123" s="1" t="s">
        <v>792</v>
      </c>
      <c r="C123" s="1">
        <v>14.0</v>
      </c>
      <c r="D123" s="1">
        <v>3.0</v>
      </c>
      <c r="E123" s="1">
        <v>1.0</v>
      </c>
      <c r="F123" s="1">
        <v>17.0</v>
      </c>
      <c r="G123" s="57">
        <f t="shared" si="1"/>
        <v>35</v>
      </c>
    </row>
    <row r="124">
      <c r="B124" s="1" t="s">
        <v>793</v>
      </c>
      <c r="C124" s="1">
        <v>6.0</v>
      </c>
      <c r="D124" s="1">
        <v>11.0</v>
      </c>
      <c r="E124" s="1">
        <v>1.0</v>
      </c>
      <c r="F124" s="1">
        <v>17.0</v>
      </c>
      <c r="G124" s="57">
        <f t="shared" si="1"/>
        <v>35</v>
      </c>
    </row>
    <row r="125">
      <c r="B125" s="1" t="s">
        <v>794</v>
      </c>
      <c r="C125" s="1">
        <v>25.0</v>
      </c>
      <c r="D125" s="1">
        <v>8.0</v>
      </c>
      <c r="E125" s="1">
        <v>2.0</v>
      </c>
      <c r="F125" s="1">
        <v>0.0</v>
      </c>
      <c r="G125" s="57">
        <f t="shared" si="1"/>
        <v>35</v>
      </c>
    </row>
    <row r="126">
      <c r="B126" s="1" t="s">
        <v>795</v>
      </c>
      <c r="C126" s="1">
        <v>21.0</v>
      </c>
      <c r="D126" s="1">
        <v>11.0</v>
      </c>
      <c r="E126" s="1">
        <v>3.0</v>
      </c>
      <c r="F126" s="1">
        <v>0.0</v>
      </c>
      <c r="G126" s="57">
        <f t="shared" si="1"/>
        <v>35</v>
      </c>
    </row>
  </sheetData>
  <mergeCells count="17">
    <mergeCell ref="A3:A4"/>
    <mergeCell ref="A6:A7"/>
    <mergeCell ref="A9:A10"/>
    <mergeCell ref="A15:A16"/>
    <mergeCell ref="A22:A23"/>
    <mergeCell ref="A26:A27"/>
    <mergeCell ref="A32:A33"/>
    <mergeCell ref="A88:A89"/>
    <mergeCell ref="A91:A92"/>
    <mergeCell ref="A95:A96"/>
    <mergeCell ref="A35:A36"/>
    <mergeCell ref="A38:A39"/>
    <mergeCell ref="A41:A42"/>
    <mergeCell ref="A65:A66"/>
    <mergeCell ref="A78:A79"/>
    <mergeCell ref="A82:A83"/>
    <mergeCell ref="A85:A86"/>
  </mergeCells>
  <hyperlinks>
    <hyperlink r:id="rId1" ref="I26"/>
    <hyperlink r:id="rId2" ref="D88"/>
    <hyperlink r:id="rId3" ref="A103"/>
    <hyperlink r:id="rId4" ref="D105"/>
    <hyperlink r:id="rId5" ref="F107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32.0"/>
    <col customWidth="1" min="3" max="3" width="37.0"/>
    <col customWidth="1" min="4" max="4" width="39.63"/>
    <col customWidth="1" min="5" max="5" width="33.25"/>
    <col customWidth="1" min="6" max="6" width="29.25"/>
    <col customWidth="1" min="7" max="10" width="29.38"/>
    <col customWidth="1" min="12" max="12" width="23.13"/>
  </cols>
  <sheetData>
    <row r="2">
      <c r="A2" s="58" t="s">
        <v>796</v>
      </c>
      <c r="B2" s="59">
        <v>0.1</v>
      </c>
      <c r="C2" s="59">
        <v>0.5</v>
      </c>
      <c r="D2" s="59">
        <v>1.0</v>
      </c>
    </row>
    <row r="3">
      <c r="A3" s="58" t="s">
        <v>797</v>
      </c>
      <c r="B3" s="59">
        <v>0.1</v>
      </c>
      <c r="C3" s="59">
        <v>0.5</v>
      </c>
      <c r="D3" s="59">
        <v>1.0</v>
      </c>
    </row>
    <row r="4">
      <c r="A4" s="58" t="s">
        <v>798</v>
      </c>
      <c r="B4" s="60">
        <v>0.0956</v>
      </c>
      <c r="C4" s="60">
        <v>0.4785</v>
      </c>
      <c r="D4" s="60">
        <v>0.957</v>
      </c>
    </row>
    <row r="5">
      <c r="A5" s="58" t="s">
        <v>799</v>
      </c>
      <c r="B5" s="60">
        <v>0.097</v>
      </c>
      <c r="C5" s="60">
        <v>0.4856</v>
      </c>
      <c r="D5" s="60">
        <v>0.971</v>
      </c>
    </row>
    <row r="22">
      <c r="A22" s="58" t="s">
        <v>800</v>
      </c>
      <c r="B22" s="59">
        <v>0.1</v>
      </c>
      <c r="C22" s="59">
        <v>0.5</v>
      </c>
      <c r="D22" s="59">
        <v>1.0</v>
      </c>
    </row>
    <row r="23">
      <c r="A23" s="58" t="s">
        <v>801</v>
      </c>
      <c r="B23" s="60">
        <v>0.0999</v>
      </c>
      <c r="C23" s="60">
        <v>0.5</v>
      </c>
      <c r="D23" s="59">
        <v>1.0</v>
      </c>
    </row>
    <row r="24">
      <c r="A24" s="58" t="s">
        <v>802</v>
      </c>
      <c r="B24" s="60">
        <v>0.0968</v>
      </c>
      <c r="C24" s="60">
        <v>0.4853</v>
      </c>
      <c r="D24" s="60">
        <v>0.9713</v>
      </c>
    </row>
    <row r="25">
      <c r="A25" s="58" t="s">
        <v>803</v>
      </c>
      <c r="B25" s="60">
        <v>0.0984</v>
      </c>
      <c r="C25" s="60">
        <v>0.4926</v>
      </c>
      <c r="D25" s="60">
        <v>0.9878</v>
      </c>
    </row>
    <row r="33">
      <c r="A33" s="61"/>
      <c r="B33" s="61"/>
    </row>
    <row r="38">
      <c r="A38" s="32"/>
      <c r="B38" s="32"/>
      <c r="C38" s="32"/>
      <c r="D38" s="32"/>
    </row>
    <row r="39">
      <c r="A39" s="32"/>
      <c r="B39" s="32"/>
      <c r="C39" s="32"/>
      <c r="D39" s="32"/>
    </row>
    <row r="41">
      <c r="A41" s="32"/>
      <c r="B41" s="32"/>
      <c r="C41" s="32"/>
      <c r="D41" s="32"/>
    </row>
    <row r="42">
      <c r="A42" s="32"/>
      <c r="B42" s="32"/>
      <c r="C42" s="32"/>
      <c r="D42" s="32"/>
    </row>
    <row r="44">
      <c r="A44" s="32"/>
      <c r="B44" s="32"/>
      <c r="C44" s="32"/>
      <c r="D44" s="32"/>
    </row>
    <row r="45">
      <c r="A45" s="32"/>
      <c r="B45" s="32"/>
      <c r="C45" s="32"/>
      <c r="D45" s="32"/>
    </row>
    <row r="47">
      <c r="A47" s="32"/>
      <c r="B47" s="32"/>
      <c r="C47" s="32"/>
      <c r="D47" s="32"/>
    </row>
    <row r="48">
      <c r="A48" s="32"/>
      <c r="B48" s="32"/>
      <c r="C48" s="32"/>
      <c r="D48" s="32"/>
    </row>
    <row r="49">
      <c r="A49" s="32"/>
      <c r="B49" s="32"/>
      <c r="C49" s="32"/>
      <c r="D49" s="32"/>
    </row>
    <row r="51">
      <c r="A51" s="32"/>
      <c r="B51" s="32"/>
      <c r="C51" s="32"/>
      <c r="D51" s="32"/>
    </row>
    <row r="52">
      <c r="A52" s="32"/>
      <c r="B52" s="32"/>
      <c r="C52" s="32"/>
      <c r="D52" s="32"/>
    </row>
    <row r="55">
      <c r="A55" s="32"/>
      <c r="B55" s="32"/>
      <c r="C55" s="32"/>
      <c r="D55" s="32"/>
    </row>
    <row r="56">
      <c r="A56" s="32"/>
      <c r="B56" s="32"/>
      <c r="C56" s="32"/>
      <c r="D56" s="32"/>
    </row>
    <row r="57">
      <c r="A57" s="61"/>
      <c r="D57" s="62" t="s">
        <v>719</v>
      </c>
      <c r="E57" s="62" t="s">
        <v>782</v>
      </c>
      <c r="F57" s="62" t="s">
        <v>783</v>
      </c>
      <c r="G57" s="62" t="s">
        <v>784</v>
      </c>
      <c r="H57" s="62" t="s">
        <v>663</v>
      </c>
      <c r="I57" s="1"/>
    </row>
    <row r="58">
      <c r="D58" s="62" t="s">
        <v>786</v>
      </c>
      <c r="E58" s="62">
        <v>28.0</v>
      </c>
      <c r="F58" s="62">
        <v>6.0</v>
      </c>
      <c r="G58" s="62">
        <v>1.0</v>
      </c>
      <c r="H58" s="62">
        <v>0.0</v>
      </c>
      <c r="I58" s="57"/>
    </row>
    <row r="59">
      <c r="D59" s="62" t="s">
        <v>787</v>
      </c>
      <c r="E59" s="62">
        <v>24.0</v>
      </c>
      <c r="F59" s="62">
        <v>9.0</v>
      </c>
      <c r="G59" s="62">
        <v>2.0</v>
      </c>
      <c r="H59" s="62">
        <v>0.0</v>
      </c>
      <c r="I59" s="57"/>
    </row>
    <row r="60">
      <c r="D60" s="62" t="s">
        <v>792</v>
      </c>
      <c r="E60" s="62">
        <v>14.0</v>
      </c>
      <c r="F60" s="62">
        <v>3.0</v>
      </c>
      <c r="G60" s="62">
        <v>1.0</v>
      </c>
      <c r="H60" s="62">
        <v>17.0</v>
      </c>
      <c r="I60" s="57"/>
    </row>
    <row r="61">
      <c r="D61" s="62" t="s">
        <v>793</v>
      </c>
      <c r="E61" s="62">
        <v>6.0</v>
      </c>
      <c r="F61" s="62">
        <v>11.0</v>
      </c>
      <c r="G61" s="62">
        <v>1.0</v>
      </c>
      <c r="H61" s="62">
        <v>17.0</v>
      </c>
      <c r="I61" s="57"/>
    </row>
    <row r="62">
      <c r="A62" s="32"/>
      <c r="B62" s="32"/>
      <c r="C62" s="32"/>
      <c r="D62" s="62" t="s">
        <v>790</v>
      </c>
      <c r="E62" s="62">
        <v>17.0</v>
      </c>
      <c r="F62" s="62">
        <v>1.0</v>
      </c>
      <c r="G62" s="62">
        <v>2.0</v>
      </c>
      <c r="H62" s="62">
        <v>15.0</v>
      </c>
      <c r="I62" s="57"/>
    </row>
    <row r="63">
      <c r="A63" s="32"/>
      <c r="B63" s="32"/>
      <c r="C63" s="32"/>
      <c r="D63" s="62" t="s">
        <v>791</v>
      </c>
      <c r="E63" s="62">
        <v>13.0</v>
      </c>
      <c r="F63" s="62">
        <v>5.0</v>
      </c>
      <c r="G63" s="62">
        <v>2.0</v>
      </c>
      <c r="H63" s="62">
        <v>15.0</v>
      </c>
      <c r="I63" s="57"/>
    </row>
    <row r="64">
      <c r="A64" s="32"/>
      <c r="B64" s="32"/>
      <c r="C64" s="32"/>
      <c r="D64" s="62" t="s">
        <v>794</v>
      </c>
      <c r="E64" s="62">
        <v>25.0</v>
      </c>
      <c r="F64" s="62">
        <v>7.0</v>
      </c>
      <c r="G64" s="62">
        <v>3.0</v>
      </c>
      <c r="H64" s="62">
        <v>0.0</v>
      </c>
      <c r="I64" s="57"/>
    </row>
    <row r="65">
      <c r="D65" s="62" t="s">
        <v>795</v>
      </c>
      <c r="E65" s="62">
        <v>21.0</v>
      </c>
      <c r="F65" s="62">
        <v>10.0</v>
      </c>
      <c r="G65" s="62">
        <v>4.0</v>
      </c>
      <c r="H65" s="62">
        <v>0.0</v>
      </c>
      <c r="I65" s="57"/>
    </row>
    <row r="66">
      <c r="A66" s="32"/>
      <c r="B66" s="32"/>
      <c r="C66" s="32"/>
      <c r="D66" s="62" t="s">
        <v>788</v>
      </c>
      <c r="E66" s="62">
        <v>12.0</v>
      </c>
      <c r="F66" s="62">
        <v>18.0</v>
      </c>
      <c r="G66" s="62">
        <v>5.0</v>
      </c>
      <c r="H66" s="62">
        <v>0.0</v>
      </c>
      <c r="I66" s="57"/>
    </row>
    <row r="67">
      <c r="D67" s="62" t="s">
        <v>789</v>
      </c>
      <c r="E67" s="62">
        <v>9.0</v>
      </c>
      <c r="F67" s="62">
        <v>9.0</v>
      </c>
      <c r="G67" s="62">
        <v>17.0</v>
      </c>
      <c r="H67" s="62">
        <v>0.0</v>
      </c>
      <c r="I67" s="57"/>
    </row>
    <row r="68">
      <c r="A68" s="32"/>
      <c r="B68" s="32"/>
      <c r="C68" s="32"/>
      <c r="D68" s="32"/>
    </row>
    <row r="69">
      <c r="A69" s="32"/>
      <c r="B69" s="32"/>
      <c r="C69" s="32"/>
      <c r="D69" s="32"/>
    </row>
    <row r="71">
      <c r="A71" s="32"/>
      <c r="B71" s="32"/>
      <c r="C71" s="32"/>
    </row>
    <row r="72">
      <c r="A72" s="32"/>
      <c r="B72" s="32"/>
      <c r="C72" s="32"/>
    </row>
    <row r="74">
      <c r="A74" s="32"/>
      <c r="B74" s="32"/>
      <c r="C74" s="32"/>
    </row>
    <row r="75">
      <c r="A75" s="32"/>
      <c r="B75" s="32"/>
      <c r="C75" s="32"/>
    </row>
    <row r="77">
      <c r="A77" s="32"/>
      <c r="B77" s="32"/>
      <c r="C77" s="32"/>
    </row>
    <row r="78">
      <c r="A78" s="32"/>
      <c r="B78" s="32"/>
      <c r="C78" s="32"/>
    </row>
    <row r="80">
      <c r="A80" s="32"/>
      <c r="B80" s="32"/>
      <c r="C80" s="32"/>
      <c r="D80" s="32"/>
    </row>
    <row r="81">
      <c r="A81" s="32"/>
      <c r="B81" s="32"/>
      <c r="C81" s="32"/>
      <c r="D81" s="32"/>
    </row>
    <row r="83">
      <c r="A83" s="32"/>
      <c r="B83" s="32"/>
      <c r="C83" s="32"/>
      <c r="D83" s="32"/>
    </row>
    <row r="84">
      <c r="A84" s="32"/>
      <c r="B84" s="32"/>
      <c r="C84" s="32"/>
      <c r="D84" s="32"/>
    </row>
    <row r="86">
      <c r="A86" s="32"/>
      <c r="B86" s="32"/>
      <c r="C86" s="32"/>
      <c r="D86" s="32"/>
    </row>
    <row r="87">
      <c r="A87" s="32"/>
      <c r="B87" s="32"/>
      <c r="C87" s="32"/>
      <c r="D87" s="32"/>
    </row>
    <row r="89">
      <c r="A89" s="32"/>
      <c r="B89" s="32"/>
      <c r="C89" s="32"/>
      <c r="D89" s="32"/>
    </row>
    <row r="90">
      <c r="A90" s="32"/>
      <c r="B90" s="32"/>
      <c r="C90" s="32"/>
      <c r="D90" s="32"/>
    </row>
    <row r="91">
      <c r="A91" s="32"/>
      <c r="B91" s="32"/>
      <c r="C91" s="32"/>
      <c r="D91" s="32"/>
    </row>
    <row r="92">
      <c r="A92" s="32"/>
      <c r="B92" s="32"/>
      <c r="C92" s="32"/>
      <c r="D92" s="32"/>
    </row>
    <row r="93">
      <c r="A93" s="32"/>
      <c r="B93" s="32"/>
      <c r="C93" s="32"/>
      <c r="D93" s="32"/>
    </row>
    <row r="94">
      <c r="A94" s="32"/>
      <c r="B94" s="32"/>
      <c r="C94" s="32"/>
      <c r="D94" s="32"/>
    </row>
    <row r="95">
      <c r="A95" s="32"/>
      <c r="B95" s="32"/>
      <c r="C95" s="32"/>
      <c r="D95" s="32"/>
    </row>
    <row r="96">
      <c r="A96" s="32"/>
      <c r="B96" s="32"/>
      <c r="C96" s="32"/>
      <c r="D96" s="32"/>
    </row>
    <row r="98">
      <c r="A98" s="32"/>
      <c r="B98" s="32"/>
      <c r="C98" s="32"/>
      <c r="D98" s="32"/>
    </row>
    <row r="99">
      <c r="A99" s="32"/>
      <c r="B99" s="32"/>
      <c r="C99" s="32"/>
      <c r="D99" s="32"/>
    </row>
    <row r="101">
      <c r="A101" s="32"/>
      <c r="B101" s="32"/>
      <c r="C101" s="32"/>
      <c r="D101" s="32"/>
    </row>
    <row r="102">
      <c r="A102" s="32"/>
      <c r="B102" s="32"/>
      <c r="C102" s="32"/>
      <c r="D102" s="32"/>
    </row>
    <row r="104">
      <c r="A104" s="32"/>
      <c r="B104" s="32"/>
      <c r="C104" s="32"/>
      <c r="D104" s="32"/>
    </row>
    <row r="105">
      <c r="A105" s="32"/>
      <c r="B105" s="32"/>
      <c r="C105" s="32"/>
      <c r="D105" s="32"/>
    </row>
    <row r="108">
      <c r="A108" s="32"/>
      <c r="B108" s="32"/>
      <c r="C108" s="32"/>
      <c r="D108" s="32"/>
    </row>
    <row r="109">
      <c r="A109" s="32"/>
      <c r="B109" s="32"/>
      <c r="C109" s="32"/>
      <c r="D109" s="32"/>
    </row>
    <row r="112">
      <c r="A112" s="32"/>
      <c r="B112" s="32"/>
      <c r="C112" s="32"/>
      <c r="D112" s="32"/>
    </row>
    <row r="113">
      <c r="A113" s="32"/>
      <c r="B113" s="32"/>
      <c r="C113" s="32"/>
      <c r="D113" s="32"/>
    </row>
    <row r="115">
      <c r="A115" s="32"/>
      <c r="B115" s="32"/>
      <c r="C115" s="32"/>
      <c r="D115" s="32"/>
    </row>
    <row r="116">
      <c r="A116" s="32"/>
      <c r="B116" s="32"/>
      <c r="C116" s="32"/>
      <c r="D116" s="32"/>
    </row>
    <row r="118">
      <c r="A118" s="32"/>
      <c r="B118" s="32"/>
      <c r="C118" s="32"/>
      <c r="D118" s="32"/>
    </row>
    <row r="119">
      <c r="A119" s="32"/>
      <c r="B119" s="32"/>
      <c r="C119" s="32"/>
      <c r="D119" s="32"/>
    </row>
    <row r="121">
      <c r="A121" s="32"/>
      <c r="B121" s="32"/>
      <c r="C121" s="32"/>
      <c r="D121" s="32"/>
    </row>
    <row r="122">
      <c r="A122" s="32"/>
      <c r="B122" s="32"/>
      <c r="C122" s="32"/>
      <c r="D122" s="32"/>
    </row>
    <row r="125">
      <c r="A125" s="32"/>
      <c r="B125" s="32"/>
      <c r="C125" s="32"/>
      <c r="D125" s="32"/>
    </row>
    <row r="126">
      <c r="A126" s="32"/>
      <c r="B126" s="32"/>
      <c r="C126" s="32"/>
      <c r="D126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71.25"/>
    <col customWidth="1" min="3" max="3" width="43.63"/>
    <col customWidth="1" min="5" max="5" width="12.88"/>
    <col customWidth="1" min="6" max="6" width="17.88"/>
    <col customWidth="1" min="7" max="7" width="97.5"/>
    <col customWidth="1" min="8" max="8" width="28.5"/>
  </cols>
  <sheetData>
    <row r="1">
      <c r="A1" s="63" t="s">
        <v>804</v>
      </c>
      <c r="B1" s="63" t="s">
        <v>805</v>
      </c>
      <c r="C1" s="64" t="s">
        <v>806</v>
      </c>
      <c r="D1" s="63" t="s">
        <v>807</v>
      </c>
      <c r="E1" s="63" t="s">
        <v>808</v>
      </c>
      <c r="F1" s="63" t="s">
        <v>809</v>
      </c>
      <c r="H1" s="18"/>
    </row>
    <row r="2">
      <c r="A2" s="65">
        <v>1.0</v>
      </c>
      <c r="B2" s="65" t="s">
        <v>539</v>
      </c>
      <c r="C2" s="66" t="s">
        <v>810</v>
      </c>
      <c r="D2" s="67" t="s">
        <v>811</v>
      </c>
      <c r="E2" s="68">
        <v>1.6E7</v>
      </c>
      <c r="F2" s="68" t="s">
        <v>812</v>
      </c>
      <c r="G2" s="69" t="s">
        <v>813</v>
      </c>
    </row>
    <row r="3">
      <c r="A3" s="65">
        <v>2.0</v>
      </c>
      <c r="B3" s="65" t="s">
        <v>542</v>
      </c>
      <c r="C3" s="70" t="s">
        <v>814</v>
      </c>
      <c r="D3" s="67" t="s">
        <v>815</v>
      </c>
      <c r="E3" s="68">
        <v>1.0E7</v>
      </c>
      <c r="F3" s="68"/>
      <c r="G3" s="17" t="s">
        <v>816</v>
      </c>
    </row>
    <row r="4">
      <c r="A4" s="71">
        <v>3.0</v>
      </c>
      <c r="B4" s="72" t="s">
        <v>545</v>
      </c>
      <c r="C4" s="70" t="s">
        <v>817</v>
      </c>
      <c r="D4" s="67" t="s">
        <v>818</v>
      </c>
      <c r="E4" s="68">
        <v>6000000.0</v>
      </c>
      <c r="F4" s="68"/>
      <c r="G4" s="73" t="s">
        <v>819</v>
      </c>
    </row>
    <row r="5">
      <c r="A5" s="71">
        <v>4.0</v>
      </c>
      <c r="B5" s="65" t="s">
        <v>548</v>
      </c>
      <c r="C5" s="70" t="s">
        <v>820</v>
      </c>
      <c r="D5" s="67">
        <v>193.0</v>
      </c>
      <c r="E5" s="68">
        <v>5000000.0</v>
      </c>
      <c r="F5" s="68"/>
      <c r="G5" s="74"/>
    </row>
    <row r="6">
      <c r="A6" s="71">
        <v>5.0</v>
      </c>
      <c r="B6" s="65" t="s">
        <v>555</v>
      </c>
      <c r="C6" s="66" t="s">
        <v>821</v>
      </c>
      <c r="D6" s="67" t="s">
        <v>822</v>
      </c>
      <c r="E6" s="68">
        <v>3000000.0</v>
      </c>
      <c r="F6" s="68"/>
    </row>
    <row r="7">
      <c r="A7" s="71">
        <v>6.0</v>
      </c>
      <c r="B7" s="65" t="s">
        <v>823</v>
      </c>
      <c r="C7" s="75" t="s">
        <v>824</v>
      </c>
      <c r="D7" s="67" t="s">
        <v>825</v>
      </c>
      <c r="E7" s="68">
        <v>3000000.0</v>
      </c>
      <c r="F7" s="68"/>
      <c r="G7" s="76"/>
    </row>
    <row r="8">
      <c r="A8" s="71">
        <v>7.0</v>
      </c>
      <c r="B8" s="77" t="s">
        <v>558</v>
      </c>
      <c r="C8" s="78" t="s">
        <v>826</v>
      </c>
      <c r="D8" s="79" t="s">
        <v>827</v>
      </c>
      <c r="E8" s="80">
        <v>600000.0</v>
      </c>
      <c r="F8" s="80"/>
      <c r="G8" s="74"/>
    </row>
    <row r="9">
      <c r="A9" s="71">
        <v>8.0</v>
      </c>
      <c r="B9" s="65" t="s">
        <v>561</v>
      </c>
      <c r="C9" s="70" t="s">
        <v>828</v>
      </c>
      <c r="D9" s="67">
        <v>624.0</v>
      </c>
      <c r="E9" s="68">
        <v>600000.0</v>
      </c>
      <c r="F9" s="68"/>
      <c r="G9" s="81" t="s">
        <v>829</v>
      </c>
    </row>
    <row r="10">
      <c r="A10" s="71">
        <v>9.0</v>
      </c>
      <c r="B10" s="65" t="s">
        <v>830</v>
      </c>
      <c r="C10" s="66" t="s">
        <v>831</v>
      </c>
      <c r="D10" s="67" t="s">
        <v>832</v>
      </c>
      <c r="E10" s="68">
        <v>500000.0</v>
      </c>
      <c r="F10" s="68"/>
      <c r="G10" s="81" t="s">
        <v>833</v>
      </c>
    </row>
    <row r="11">
      <c r="A11" s="71">
        <v>10.0</v>
      </c>
      <c r="B11" s="65" t="s">
        <v>834</v>
      </c>
      <c r="C11" s="66" t="s">
        <v>835</v>
      </c>
      <c r="D11" s="67" t="s">
        <v>836</v>
      </c>
      <c r="E11" s="68">
        <v>300000.0</v>
      </c>
      <c r="F11" s="68"/>
      <c r="G11" s="81" t="s">
        <v>837</v>
      </c>
    </row>
    <row r="12">
      <c r="A12" s="71">
        <v>11.0</v>
      </c>
      <c r="B12" s="77" t="s">
        <v>570</v>
      </c>
      <c r="C12" s="82" t="s">
        <v>838</v>
      </c>
      <c r="D12" s="79">
        <v>304.0</v>
      </c>
      <c r="E12" s="80">
        <v>300000.0</v>
      </c>
      <c r="F12" s="80"/>
      <c r="G12" s="81"/>
    </row>
    <row r="13">
      <c r="A13" s="71">
        <v>12.0</v>
      </c>
      <c r="B13" s="65" t="s">
        <v>839</v>
      </c>
      <c r="C13" s="70" t="s">
        <v>840</v>
      </c>
      <c r="D13" s="67" t="s">
        <v>841</v>
      </c>
      <c r="E13" s="68">
        <v>200000.0</v>
      </c>
      <c r="F13" s="68"/>
      <c r="G13" s="3"/>
    </row>
    <row r="14">
      <c r="A14" s="71">
        <v>13.0</v>
      </c>
      <c r="B14" s="65" t="s">
        <v>842</v>
      </c>
      <c r="C14" s="66" t="s">
        <v>843</v>
      </c>
      <c r="D14" s="67">
        <v>21.0</v>
      </c>
      <c r="E14" s="68">
        <v>200000.0</v>
      </c>
      <c r="F14" s="68"/>
      <c r="G14" s="81"/>
    </row>
    <row r="15">
      <c r="A15" s="71">
        <v>14.0</v>
      </c>
      <c r="B15" s="65" t="s">
        <v>578</v>
      </c>
      <c r="C15" s="70" t="s">
        <v>844</v>
      </c>
      <c r="D15" s="67" t="s">
        <v>845</v>
      </c>
      <c r="E15" s="68">
        <v>200000.0</v>
      </c>
      <c r="F15" s="68"/>
      <c r="G15" s="3"/>
    </row>
    <row r="16">
      <c r="A16" s="71">
        <v>15.0</v>
      </c>
      <c r="B16" s="65" t="s">
        <v>581</v>
      </c>
      <c r="C16" s="75" t="s">
        <v>846</v>
      </c>
      <c r="D16" s="67" t="s">
        <v>847</v>
      </c>
      <c r="E16" s="68">
        <v>100000.0</v>
      </c>
      <c r="F16" s="68"/>
      <c r="G16" s="3"/>
    </row>
    <row r="17">
      <c r="A17" s="71">
        <v>16.0</v>
      </c>
      <c r="B17" s="65" t="s">
        <v>584</v>
      </c>
      <c r="C17" s="66" t="s">
        <v>848</v>
      </c>
      <c r="D17" s="67" t="s">
        <v>849</v>
      </c>
      <c r="E17" s="68">
        <v>100000.0</v>
      </c>
      <c r="F17" s="68"/>
    </row>
    <row r="18">
      <c r="A18" s="71">
        <v>17.0</v>
      </c>
      <c r="B18" s="65" t="s">
        <v>586</v>
      </c>
      <c r="C18" s="70" t="s">
        <v>850</v>
      </c>
      <c r="D18" s="67">
        <v>169.0</v>
      </c>
      <c r="E18" s="68">
        <v>100000.0</v>
      </c>
      <c r="F18" s="68"/>
      <c r="G18" s="18"/>
    </row>
    <row r="19">
      <c r="A19" s="71">
        <v>18.0</v>
      </c>
      <c r="B19" s="65" t="s">
        <v>589</v>
      </c>
      <c r="C19" s="83" t="s">
        <v>851</v>
      </c>
      <c r="D19" s="67">
        <v>189.0</v>
      </c>
      <c r="E19" s="68">
        <v>100000.0</v>
      </c>
      <c r="F19" s="68"/>
    </row>
    <row r="20">
      <c r="A20" s="71">
        <v>19.0</v>
      </c>
      <c r="B20" s="72" t="s">
        <v>592</v>
      </c>
      <c r="C20" s="66" t="s">
        <v>852</v>
      </c>
      <c r="D20" s="67" t="s">
        <v>845</v>
      </c>
      <c r="E20" s="68">
        <v>100000.0</v>
      </c>
      <c r="F20" s="68"/>
    </row>
    <row r="21">
      <c r="A21" s="71">
        <v>20.0</v>
      </c>
      <c r="B21" s="65" t="s">
        <v>601</v>
      </c>
      <c r="C21" s="70" t="s">
        <v>853</v>
      </c>
      <c r="D21" s="67">
        <v>386.0</v>
      </c>
      <c r="E21" s="68">
        <v>50000.0</v>
      </c>
      <c r="F21" s="68"/>
    </row>
    <row r="22">
      <c r="A22" s="71">
        <v>21.0</v>
      </c>
      <c r="B22" s="65" t="s">
        <v>604</v>
      </c>
      <c r="C22" s="84" t="s">
        <v>854</v>
      </c>
      <c r="D22" s="67">
        <v>160.0</v>
      </c>
      <c r="E22" s="68">
        <v>50000.0</v>
      </c>
      <c r="F22" s="68"/>
    </row>
    <row r="23">
      <c r="A23" s="71">
        <v>22.0</v>
      </c>
      <c r="B23" s="65" t="s">
        <v>607</v>
      </c>
      <c r="C23" s="84" t="s">
        <v>855</v>
      </c>
      <c r="D23" s="65" t="s">
        <v>856</v>
      </c>
      <c r="E23" s="68">
        <v>40000.0</v>
      </c>
      <c r="F23" s="68"/>
    </row>
    <row r="24">
      <c r="A24" s="71">
        <v>23.0</v>
      </c>
      <c r="B24" s="77" t="s">
        <v>857</v>
      </c>
      <c r="C24" s="82" t="s">
        <v>858</v>
      </c>
      <c r="D24" s="79" t="s">
        <v>859</v>
      </c>
      <c r="E24" s="80">
        <v>30000.0</v>
      </c>
      <c r="F24" s="80"/>
    </row>
    <row r="25">
      <c r="A25" s="71">
        <v>24.0</v>
      </c>
      <c r="B25" s="65" t="s">
        <v>611</v>
      </c>
      <c r="C25" s="66" t="s">
        <v>860</v>
      </c>
      <c r="D25" s="67">
        <v>49.0</v>
      </c>
      <c r="E25" s="68">
        <v>20000.0</v>
      </c>
      <c r="F25" s="68"/>
    </row>
    <row r="26">
      <c r="A26" s="71">
        <v>25.0</v>
      </c>
      <c r="B26" s="77" t="s">
        <v>615</v>
      </c>
      <c r="C26" s="85" t="s">
        <v>861</v>
      </c>
      <c r="D26" s="79">
        <v>7.0</v>
      </c>
      <c r="E26" s="80">
        <v>10000.0</v>
      </c>
      <c r="F26" s="80"/>
    </row>
    <row r="27">
      <c r="A27" s="71">
        <v>26.0</v>
      </c>
      <c r="B27" s="86" t="s">
        <v>862</v>
      </c>
      <c r="C27" s="87" t="s">
        <v>863</v>
      </c>
      <c r="D27" s="88">
        <v>57.0</v>
      </c>
      <c r="E27" s="89">
        <v>2000.0</v>
      </c>
      <c r="F27" s="89"/>
    </row>
    <row r="28">
      <c r="A28" s="71">
        <v>27.0</v>
      </c>
      <c r="B28" s="77" t="s">
        <v>623</v>
      </c>
      <c r="C28" s="78" t="s">
        <v>864</v>
      </c>
      <c r="D28" s="79">
        <v>118.0</v>
      </c>
      <c r="E28" s="80">
        <v>908.0</v>
      </c>
      <c r="F28" s="80"/>
    </row>
    <row r="29">
      <c r="A29" s="71">
        <v>28.0</v>
      </c>
      <c r="B29" s="90" t="s">
        <v>630</v>
      </c>
      <c r="C29" s="70" t="s">
        <v>865</v>
      </c>
      <c r="D29" s="67" t="s">
        <v>866</v>
      </c>
      <c r="E29" s="68">
        <v>41.0</v>
      </c>
      <c r="F29" s="68"/>
    </row>
    <row r="30">
      <c r="A30" s="71">
        <v>29.0</v>
      </c>
      <c r="B30" s="65" t="s">
        <v>617</v>
      </c>
      <c r="C30" s="70" t="s">
        <v>867</v>
      </c>
      <c r="D30" s="67">
        <v>29.0</v>
      </c>
      <c r="E30" s="68">
        <v>2000.0</v>
      </c>
      <c r="F30" s="68"/>
    </row>
    <row r="31">
      <c r="A31" s="71">
        <v>30.0</v>
      </c>
      <c r="B31" s="65" t="s">
        <v>596</v>
      </c>
      <c r="C31" s="70" t="s">
        <v>868</v>
      </c>
      <c r="D31" s="67">
        <v>17.0</v>
      </c>
      <c r="E31" s="68">
        <v>70000.0</v>
      </c>
      <c r="F31" s="68"/>
    </row>
    <row r="32">
      <c r="A32" s="71">
        <v>31.0</v>
      </c>
      <c r="B32" s="65" t="s">
        <v>613</v>
      </c>
      <c r="C32" s="70" t="s">
        <v>869</v>
      </c>
      <c r="D32" s="67">
        <v>40.0</v>
      </c>
      <c r="E32" s="68">
        <v>20000.0</v>
      </c>
      <c r="F32" s="68"/>
    </row>
    <row r="33">
      <c r="A33" s="71">
        <v>32.0</v>
      </c>
      <c r="B33" s="86" t="s">
        <v>870</v>
      </c>
      <c r="C33" s="91"/>
      <c r="D33" s="88"/>
      <c r="E33" s="89">
        <v>4000.0</v>
      </c>
      <c r="F33" s="89"/>
    </row>
    <row r="34">
      <c r="A34" s="71">
        <v>33.0</v>
      </c>
      <c r="B34" s="86" t="s">
        <v>871</v>
      </c>
      <c r="C34" s="87" t="s">
        <v>872</v>
      </c>
      <c r="D34" s="88" t="s">
        <v>873</v>
      </c>
      <c r="E34" s="89">
        <v>400000.0</v>
      </c>
      <c r="F34" s="89"/>
    </row>
    <row r="35">
      <c r="A35" s="71">
        <v>34.0</v>
      </c>
      <c r="B35" s="86" t="s">
        <v>874</v>
      </c>
      <c r="C35" s="91"/>
      <c r="D35" s="88"/>
      <c r="E35" s="89"/>
      <c r="F35" s="89"/>
    </row>
    <row r="36">
      <c r="A36" s="71">
        <v>35.0</v>
      </c>
      <c r="B36" s="86" t="s">
        <v>875</v>
      </c>
      <c r="C36" s="91"/>
      <c r="D36" s="88"/>
      <c r="E36" s="89"/>
      <c r="F36" s="89"/>
    </row>
    <row r="37">
      <c r="A37" s="71">
        <v>36.0</v>
      </c>
      <c r="B37" s="92" t="s">
        <v>876</v>
      </c>
      <c r="C37" s="93"/>
      <c r="D37" s="94"/>
      <c r="E37" s="95"/>
      <c r="F37" s="95"/>
    </row>
    <row r="38">
      <c r="A38" s="71">
        <v>37.0</v>
      </c>
      <c r="B38" s="86" t="s">
        <v>877</v>
      </c>
      <c r="C38" s="96" t="s">
        <v>878</v>
      </c>
      <c r="D38" s="94"/>
      <c r="E38" s="95"/>
      <c r="F38" s="95"/>
    </row>
    <row r="39">
      <c r="A39" s="71">
        <v>38.0</v>
      </c>
      <c r="B39" s="86" t="s">
        <v>879</v>
      </c>
      <c r="C39" s="87" t="s">
        <v>880</v>
      </c>
      <c r="D39" s="88">
        <v>30.0</v>
      </c>
      <c r="E39" s="89">
        <v>3000.0</v>
      </c>
      <c r="F39" s="89"/>
    </row>
    <row r="40">
      <c r="A40" s="71">
        <v>39.0</v>
      </c>
      <c r="B40" s="86" t="s">
        <v>881</v>
      </c>
      <c r="C40" s="93"/>
      <c r="D40" s="94"/>
      <c r="E40" s="95"/>
      <c r="F40" s="95"/>
    </row>
    <row r="41">
      <c r="A41" s="71">
        <v>40.0</v>
      </c>
      <c r="B41" s="86" t="s">
        <v>882</v>
      </c>
      <c r="C41" s="97" t="s">
        <v>883</v>
      </c>
      <c r="D41" s="86">
        <v>1.0</v>
      </c>
      <c r="E41" s="89"/>
      <c r="F41" s="89"/>
    </row>
    <row r="42">
      <c r="A42" s="71">
        <v>41.0</v>
      </c>
      <c r="B42" s="86" t="s">
        <v>884</v>
      </c>
      <c r="C42" s="91"/>
      <c r="D42" s="88"/>
      <c r="E42" s="89"/>
      <c r="F42" s="89"/>
    </row>
    <row r="43">
      <c r="A43" s="71">
        <v>42.0</v>
      </c>
      <c r="B43" s="98" t="s">
        <v>620</v>
      </c>
      <c r="C43" s="99"/>
      <c r="D43" s="100"/>
      <c r="E43" s="101"/>
      <c r="F43" s="101"/>
    </row>
    <row r="44">
      <c r="A44" s="71">
        <v>43.0</v>
      </c>
      <c r="B44" s="98" t="s">
        <v>599</v>
      </c>
      <c r="C44" s="102" t="s">
        <v>885</v>
      </c>
      <c r="D44" s="100"/>
      <c r="E44" s="103">
        <v>60000.0</v>
      </c>
      <c r="F44" s="103"/>
    </row>
    <row r="45">
      <c r="A45" s="71">
        <v>44.0</v>
      </c>
      <c r="B45" s="86" t="s">
        <v>886</v>
      </c>
      <c r="C45" s="87" t="s">
        <v>887</v>
      </c>
      <c r="D45" s="88"/>
      <c r="E45" s="95"/>
      <c r="F45" s="95"/>
    </row>
    <row r="46">
      <c r="A46" s="71">
        <v>45.0</v>
      </c>
      <c r="B46" s="98" t="s">
        <v>888</v>
      </c>
      <c r="C46" s="102" t="s">
        <v>889</v>
      </c>
      <c r="D46" s="100"/>
      <c r="E46" s="101"/>
      <c r="F46" s="101"/>
    </row>
    <row r="47">
      <c r="A47" s="71">
        <v>46.0</v>
      </c>
      <c r="B47" s="86" t="s">
        <v>890</v>
      </c>
      <c r="C47" s="102" t="s">
        <v>891</v>
      </c>
      <c r="D47" s="100"/>
      <c r="E47" s="101"/>
      <c r="F47" s="101"/>
    </row>
    <row r="48">
      <c r="A48" s="71">
        <v>47.0</v>
      </c>
      <c r="B48" s="86" t="s">
        <v>892</v>
      </c>
      <c r="C48" s="102" t="s">
        <v>893</v>
      </c>
      <c r="D48" s="100"/>
      <c r="E48" s="101"/>
      <c r="F48" s="101"/>
    </row>
    <row r="49">
      <c r="A49" s="71">
        <v>48.0</v>
      </c>
      <c r="B49" s="104" t="s">
        <v>594</v>
      </c>
      <c r="C49" s="102" t="s">
        <v>894</v>
      </c>
      <c r="D49" s="100"/>
      <c r="E49" s="103">
        <v>100000.0</v>
      </c>
      <c r="F49" s="103"/>
    </row>
    <row r="50">
      <c r="A50" s="71">
        <v>49.0</v>
      </c>
      <c r="B50" s="86" t="s">
        <v>895</v>
      </c>
      <c r="C50" s="99"/>
      <c r="D50" s="100"/>
      <c r="E50" s="101"/>
      <c r="F50" s="101"/>
    </row>
    <row r="51">
      <c r="A51" s="71">
        <v>50.0</v>
      </c>
      <c r="B51" s="86" t="s">
        <v>896</v>
      </c>
      <c r="C51" s="99"/>
      <c r="D51" s="100"/>
      <c r="E51" s="101"/>
      <c r="F51" s="101"/>
    </row>
    <row r="52">
      <c r="A52" s="71">
        <v>51.0</v>
      </c>
      <c r="B52" s="86" t="s">
        <v>897</v>
      </c>
      <c r="C52" s="99"/>
      <c r="D52" s="100"/>
      <c r="E52" s="101"/>
      <c r="F52" s="101"/>
    </row>
    <row r="53">
      <c r="A53" s="71">
        <v>52.0</v>
      </c>
      <c r="B53" s="105" t="s">
        <v>626</v>
      </c>
      <c r="C53" s="102" t="s">
        <v>898</v>
      </c>
      <c r="D53" s="100"/>
      <c r="E53" s="103">
        <v>707.0</v>
      </c>
      <c r="F53" s="103"/>
    </row>
    <row r="54">
      <c r="A54" s="71">
        <v>53.0</v>
      </c>
      <c r="B54" s="106" t="s">
        <v>899</v>
      </c>
      <c r="C54" s="91"/>
      <c r="D54" s="88"/>
      <c r="E54" s="95"/>
      <c r="F54" s="95"/>
    </row>
    <row r="55">
      <c r="A55" s="71">
        <v>54.0</v>
      </c>
      <c r="B55" s="107" t="s">
        <v>628</v>
      </c>
      <c r="C55" s="75" t="s">
        <v>900</v>
      </c>
      <c r="D55" s="67">
        <v>2.0</v>
      </c>
      <c r="E55" s="68">
        <v>132.0</v>
      </c>
      <c r="F55" s="68"/>
    </row>
    <row r="56">
      <c r="C56" s="108"/>
      <c r="D56" s="109"/>
      <c r="E56" s="109"/>
      <c r="F56" s="109"/>
    </row>
    <row r="57">
      <c r="C57" s="108"/>
      <c r="D57" s="109"/>
      <c r="E57" s="109"/>
      <c r="F57" s="109"/>
    </row>
    <row r="58">
      <c r="C58" s="108"/>
      <c r="D58" s="109"/>
      <c r="E58" s="109"/>
      <c r="F58" s="109"/>
    </row>
    <row r="59">
      <c r="B59" s="40">
        <f>54-35</f>
        <v>19</v>
      </c>
      <c r="C59" s="108"/>
      <c r="D59" s="109"/>
      <c r="E59" s="109"/>
      <c r="F59" s="109"/>
    </row>
    <row r="60">
      <c r="C60" s="108"/>
      <c r="D60" s="109"/>
      <c r="E60" s="109"/>
      <c r="F60" s="109"/>
    </row>
    <row r="61">
      <c r="C61" s="108"/>
      <c r="D61" s="109"/>
      <c r="E61" s="109"/>
      <c r="F61" s="109"/>
    </row>
    <row r="62">
      <c r="C62" s="108"/>
      <c r="D62" s="109"/>
      <c r="E62" s="109"/>
      <c r="F62" s="109"/>
    </row>
    <row r="63">
      <c r="C63" s="108"/>
      <c r="D63" s="109"/>
      <c r="E63" s="109"/>
      <c r="F63" s="109"/>
    </row>
    <row r="64">
      <c r="C64" s="108"/>
      <c r="D64" s="109"/>
      <c r="E64" s="109"/>
      <c r="F64" s="109"/>
    </row>
    <row r="65">
      <c r="C65" s="108"/>
      <c r="D65" s="109"/>
      <c r="E65" s="109"/>
      <c r="F65" s="109"/>
    </row>
    <row r="66">
      <c r="C66" s="108"/>
      <c r="D66" s="109"/>
      <c r="E66" s="109"/>
      <c r="F66" s="109"/>
    </row>
    <row r="67">
      <c r="C67" s="108"/>
      <c r="D67" s="109"/>
      <c r="E67" s="109"/>
      <c r="F67" s="109"/>
    </row>
    <row r="68">
      <c r="C68" s="108"/>
      <c r="D68" s="109"/>
      <c r="E68" s="109"/>
      <c r="F68" s="109"/>
    </row>
    <row r="69">
      <c r="C69" s="108"/>
      <c r="D69" s="109"/>
      <c r="E69" s="109"/>
      <c r="F69" s="109"/>
    </row>
    <row r="70">
      <c r="C70" s="108"/>
      <c r="D70" s="109"/>
      <c r="E70" s="109"/>
      <c r="F70" s="109"/>
    </row>
    <row r="71">
      <c r="C71" s="108"/>
      <c r="D71" s="109"/>
      <c r="E71" s="109"/>
      <c r="F71" s="109"/>
    </row>
    <row r="72">
      <c r="C72" s="108"/>
      <c r="D72" s="109"/>
      <c r="E72" s="109"/>
      <c r="F72" s="109"/>
    </row>
    <row r="73">
      <c r="C73" s="108"/>
      <c r="D73" s="109"/>
      <c r="E73" s="109"/>
      <c r="F73" s="109"/>
    </row>
    <row r="74">
      <c r="C74" s="108"/>
      <c r="D74" s="109"/>
      <c r="E74" s="109"/>
      <c r="F74" s="109"/>
    </row>
    <row r="75">
      <c r="C75" s="108"/>
      <c r="D75" s="109"/>
      <c r="E75" s="109"/>
      <c r="F75" s="109"/>
    </row>
    <row r="76">
      <c r="C76" s="108"/>
      <c r="D76" s="109"/>
      <c r="E76" s="109"/>
      <c r="F76" s="109"/>
    </row>
    <row r="77">
      <c r="C77" s="108"/>
      <c r="D77" s="109"/>
      <c r="E77" s="109"/>
      <c r="F77" s="109"/>
    </row>
    <row r="78">
      <c r="C78" s="108"/>
      <c r="D78" s="109"/>
      <c r="E78" s="109"/>
      <c r="F78" s="109"/>
    </row>
    <row r="79">
      <c r="C79" s="108"/>
      <c r="D79" s="109"/>
      <c r="E79" s="109"/>
      <c r="F79" s="109"/>
    </row>
    <row r="80">
      <c r="C80" s="108"/>
      <c r="D80" s="109"/>
      <c r="E80" s="109"/>
      <c r="F80" s="109"/>
    </row>
    <row r="81">
      <c r="C81" s="108"/>
      <c r="D81" s="109"/>
      <c r="E81" s="109"/>
      <c r="F81" s="109"/>
    </row>
    <row r="82">
      <c r="C82" s="108"/>
      <c r="D82" s="109"/>
      <c r="E82" s="109"/>
      <c r="F82" s="109"/>
    </row>
    <row r="83">
      <c r="C83" s="108"/>
      <c r="D83" s="109"/>
      <c r="E83" s="109"/>
      <c r="F83" s="109"/>
    </row>
    <row r="84">
      <c r="C84" s="108"/>
      <c r="D84" s="109"/>
      <c r="E84" s="109"/>
      <c r="F84" s="109"/>
    </row>
    <row r="85">
      <c r="C85" s="108"/>
      <c r="D85" s="109"/>
      <c r="E85" s="109"/>
      <c r="F85" s="109"/>
    </row>
    <row r="86">
      <c r="C86" s="108"/>
      <c r="D86" s="109"/>
      <c r="E86" s="109"/>
      <c r="F86" s="109"/>
    </row>
    <row r="87">
      <c r="C87" s="108"/>
      <c r="D87" s="109"/>
      <c r="E87" s="109"/>
      <c r="F87" s="109"/>
    </row>
    <row r="88">
      <c r="C88" s="108"/>
      <c r="D88" s="109"/>
      <c r="E88" s="109"/>
      <c r="F88" s="109"/>
    </row>
    <row r="89">
      <c r="C89" s="108"/>
      <c r="D89" s="109"/>
      <c r="E89" s="109"/>
      <c r="F89" s="109"/>
    </row>
    <row r="90">
      <c r="C90" s="108"/>
      <c r="D90" s="109"/>
      <c r="E90" s="109"/>
      <c r="F90" s="109"/>
    </row>
    <row r="91">
      <c r="C91" s="108"/>
      <c r="D91" s="109"/>
      <c r="E91" s="109"/>
      <c r="F91" s="109"/>
    </row>
    <row r="92">
      <c r="C92" s="108"/>
      <c r="D92" s="109"/>
      <c r="E92" s="109"/>
      <c r="F92" s="109"/>
    </row>
    <row r="93">
      <c r="C93" s="108"/>
      <c r="D93" s="109"/>
      <c r="E93" s="109"/>
      <c r="F93" s="109"/>
    </row>
    <row r="94">
      <c r="C94" s="108"/>
      <c r="D94" s="109"/>
      <c r="E94" s="109"/>
      <c r="F94" s="109"/>
    </row>
    <row r="95">
      <c r="C95" s="108"/>
      <c r="D95" s="109"/>
      <c r="E95" s="109"/>
      <c r="F95" s="109"/>
    </row>
    <row r="96">
      <c r="C96" s="108"/>
      <c r="D96" s="109"/>
      <c r="E96" s="109"/>
      <c r="F96" s="109"/>
    </row>
    <row r="97">
      <c r="C97" s="108"/>
      <c r="D97" s="109"/>
      <c r="E97" s="109"/>
      <c r="F97" s="109"/>
    </row>
    <row r="98">
      <c r="C98" s="108"/>
      <c r="D98" s="109"/>
      <c r="E98" s="109"/>
      <c r="F98" s="109"/>
    </row>
    <row r="99">
      <c r="C99" s="108"/>
      <c r="D99" s="109"/>
      <c r="E99" s="109"/>
      <c r="F99" s="109"/>
    </row>
    <row r="100">
      <c r="C100" s="108"/>
      <c r="D100" s="109"/>
      <c r="E100" s="109"/>
      <c r="F100" s="109"/>
    </row>
    <row r="101">
      <c r="C101" s="108"/>
      <c r="D101" s="109"/>
      <c r="E101" s="109"/>
      <c r="F101" s="109"/>
    </row>
    <row r="102">
      <c r="C102" s="108"/>
      <c r="D102" s="109"/>
      <c r="E102" s="109"/>
      <c r="F102" s="109"/>
    </row>
    <row r="103">
      <c r="C103" s="108"/>
      <c r="D103" s="109"/>
      <c r="E103" s="109"/>
      <c r="F103" s="109"/>
    </row>
    <row r="104">
      <c r="C104" s="108"/>
      <c r="D104" s="109"/>
      <c r="E104" s="109"/>
      <c r="F104" s="109"/>
    </row>
    <row r="105">
      <c r="C105" s="108"/>
      <c r="D105" s="109"/>
      <c r="E105" s="109"/>
      <c r="F105" s="109"/>
    </row>
    <row r="106">
      <c r="C106" s="108"/>
      <c r="D106" s="109"/>
      <c r="E106" s="109"/>
      <c r="F106" s="109"/>
    </row>
    <row r="107">
      <c r="C107" s="108"/>
      <c r="D107" s="109"/>
      <c r="E107" s="109"/>
      <c r="F107" s="109"/>
    </row>
    <row r="108">
      <c r="C108" s="108"/>
      <c r="D108" s="109"/>
      <c r="E108" s="109"/>
      <c r="F108" s="109"/>
    </row>
    <row r="109">
      <c r="C109" s="108"/>
      <c r="D109" s="109"/>
      <c r="E109" s="109"/>
      <c r="F109" s="109"/>
    </row>
    <row r="110">
      <c r="C110" s="108"/>
      <c r="D110" s="109"/>
      <c r="E110" s="109"/>
      <c r="F110" s="109"/>
    </row>
    <row r="111">
      <c r="C111" s="108"/>
      <c r="D111" s="109"/>
      <c r="E111" s="109"/>
      <c r="F111" s="109"/>
    </row>
    <row r="112">
      <c r="C112" s="108"/>
      <c r="D112" s="109"/>
      <c r="E112" s="109"/>
      <c r="F112" s="109"/>
    </row>
    <row r="113">
      <c r="C113" s="108"/>
      <c r="D113" s="109"/>
      <c r="E113" s="109"/>
      <c r="F113" s="109"/>
    </row>
    <row r="114">
      <c r="C114" s="108"/>
      <c r="D114" s="109"/>
      <c r="E114" s="109"/>
      <c r="F114" s="109"/>
    </row>
    <row r="115">
      <c r="C115" s="108"/>
      <c r="D115" s="109"/>
      <c r="E115" s="109"/>
      <c r="F115" s="109"/>
    </row>
    <row r="116">
      <c r="C116" s="108"/>
      <c r="D116" s="109"/>
      <c r="E116" s="109"/>
      <c r="F116" s="109"/>
    </row>
    <row r="117">
      <c r="C117" s="108"/>
      <c r="D117" s="109"/>
      <c r="E117" s="109"/>
      <c r="F117" s="109"/>
    </row>
    <row r="118">
      <c r="C118" s="108"/>
      <c r="D118" s="109"/>
      <c r="E118" s="109"/>
      <c r="F118" s="109"/>
    </row>
    <row r="119">
      <c r="C119" s="108"/>
      <c r="D119" s="109"/>
      <c r="E119" s="109"/>
      <c r="F119" s="109"/>
    </row>
    <row r="120">
      <c r="C120" s="108"/>
      <c r="D120" s="109"/>
      <c r="E120" s="109"/>
      <c r="F120" s="109"/>
    </row>
    <row r="121">
      <c r="C121" s="108"/>
      <c r="D121" s="109"/>
      <c r="E121" s="109"/>
      <c r="F121" s="109"/>
    </row>
    <row r="122">
      <c r="C122" s="108"/>
      <c r="D122" s="109"/>
      <c r="E122" s="109"/>
      <c r="F122" s="109"/>
    </row>
    <row r="123">
      <c r="C123" s="108"/>
      <c r="D123" s="109"/>
      <c r="E123" s="109"/>
      <c r="F123" s="109"/>
    </row>
    <row r="124">
      <c r="C124" s="108"/>
      <c r="D124" s="109"/>
      <c r="E124" s="109"/>
      <c r="F124" s="109"/>
    </row>
    <row r="125">
      <c r="C125" s="108"/>
      <c r="D125" s="109"/>
      <c r="E125" s="109"/>
      <c r="F125" s="109"/>
    </row>
    <row r="126">
      <c r="C126" s="108"/>
      <c r="D126" s="109"/>
      <c r="E126" s="109"/>
      <c r="F126" s="109"/>
    </row>
    <row r="127">
      <c r="C127" s="108"/>
      <c r="D127" s="109"/>
      <c r="E127" s="109"/>
      <c r="F127" s="109"/>
    </row>
    <row r="128">
      <c r="C128" s="108"/>
      <c r="D128" s="109"/>
      <c r="E128" s="109"/>
      <c r="F128" s="109"/>
    </row>
    <row r="129">
      <c r="C129" s="108"/>
      <c r="D129" s="109"/>
      <c r="E129" s="109"/>
      <c r="F129" s="109"/>
    </row>
    <row r="130">
      <c r="C130" s="108"/>
      <c r="D130" s="109"/>
      <c r="E130" s="109"/>
      <c r="F130" s="109"/>
    </row>
    <row r="131">
      <c r="C131" s="108"/>
      <c r="D131" s="109"/>
      <c r="E131" s="109"/>
      <c r="F131" s="109"/>
    </row>
    <row r="132">
      <c r="C132" s="108"/>
      <c r="D132" s="109"/>
      <c r="E132" s="109"/>
      <c r="F132" s="109"/>
    </row>
    <row r="133">
      <c r="C133" s="108"/>
      <c r="D133" s="109"/>
      <c r="E133" s="109"/>
      <c r="F133" s="109"/>
    </row>
    <row r="134">
      <c r="C134" s="108"/>
      <c r="D134" s="109"/>
      <c r="E134" s="109"/>
      <c r="F134" s="109"/>
    </row>
    <row r="135">
      <c r="C135" s="108"/>
      <c r="D135" s="109"/>
      <c r="E135" s="109"/>
      <c r="F135" s="109"/>
    </row>
    <row r="136">
      <c r="C136" s="108"/>
      <c r="D136" s="109"/>
      <c r="E136" s="109"/>
      <c r="F136" s="109"/>
    </row>
    <row r="137">
      <c r="C137" s="108"/>
      <c r="D137" s="109"/>
      <c r="E137" s="109"/>
      <c r="F137" s="109"/>
    </row>
    <row r="138">
      <c r="C138" s="108"/>
      <c r="D138" s="109"/>
      <c r="E138" s="109"/>
      <c r="F138" s="109"/>
    </row>
    <row r="139">
      <c r="C139" s="108"/>
      <c r="D139" s="109"/>
      <c r="E139" s="109"/>
      <c r="F139" s="109"/>
    </row>
    <row r="140">
      <c r="C140" s="108"/>
      <c r="D140" s="109"/>
      <c r="E140" s="109"/>
      <c r="F140" s="109"/>
    </row>
    <row r="141">
      <c r="C141" s="108"/>
      <c r="D141" s="109"/>
      <c r="E141" s="109"/>
      <c r="F141" s="109"/>
    </row>
    <row r="142">
      <c r="C142" s="108"/>
      <c r="D142" s="109"/>
      <c r="E142" s="109"/>
      <c r="F142" s="109"/>
    </row>
    <row r="143">
      <c r="C143" s="108"/>
      <c r="D143" s="109"/>
      <c r="E143" s="109"/>
      <c r="F143" s="109"/>
    </row>
    <row r="144">
      <c r="C144" s="108"/>
      <c r="D144" s="109"/>
      <c r="E144" s="109"/>
      <c r="F144" s="109"/>
    </row>
    <row r="145">
      <c r="C145" s="108"/>
      <c r="D145" s="109"/>
      <c r="E145" s="109"/>
      <c r="F145" s="109"/>
    </row>
    <row r="146">
      <c r="C146" s="108"/>
      <c r="D146" s="109"/>
      <c r="E146" s="109"/>
      <c r="F146" s="109"/>
    </row>
    <row r="147">
      <c r="C147" s="108"/>
      <c r="D147" s="109"/>
      <c r="E147" s="109"/>
      <c r="F147" s="109"/>
    </row>
    <row r="148">
      <c r="C148" s="108"/>
      <c r="D148" s="109"/>
      <c r="E148" s="109"/>
      <c r="F148" s="109"/>
    </row>
    <row r="149">
      <c r="C149" s="108"/>
      <c r="D149" s="109"/>
      <c r="E149" s="109"/>
      <c r="F149" s="109"/>
    </row>
    <row r="150">
      <c r="C150" s="108"/>
      <c r="D150" s="109"/>
      <c r="E150" s="109"/>
      <c r="F150" s="109"/>
    </row>
    <row r="151">
      <c r="C151" s="108"/>
      <c r="D151" s="109"/>
      <c r="E151" s="109"/>
      <c r="F151" s="109"/>
    </row>
    <row r="152">
      <c r="C152" s="108"/>
      <c r="D152" s="109"/>
      <c r="E152" s="109"/>
      <c r="F152" s="109"/>
    </row>
    <row r="153">
      <c r="C153" s="108"/>
      <c r="D153" s="109"/>
      <c r="E153" s="109"/>
      <c r="F153" s="109"/>
    </row>
    <row r="154">
      <c r="C154" s="108"/>
      <c r="D154" s="109"/>
      <c r="E154" s="109"/>
      <c r="F154" s="109"/>
    </row>
    <row r="155">
      <c r="C155" s="108"/>
      <c r="D155" s="109"/>
      <c r="E155" s="109"/>
      <c r="F155" s="109"/>
    </row>
    <row r="156">
      <c r="C156" s="108"/>
      <c r="D156" s="109"/>
      <c r="E156" s="109"/>
      <c r="F156" s="109"/>
    </row>
    <row r="157">
      <c r="C157" s="108"/>
      <c r="D157" s="109"/>
      <c r="E157" s="109"/>
      <c r="F157" s="109"/>
    </row>
    <row r="158">
      <c r="C158" s="108"/>
      <c r="D158" s="109"/>
      <c r="E158" s="109"/>
      <c r="F158" s="109"/>
    </row>
    <row r="159">
      <c r="C159" s="108"/>
      <c r="D159" s="109"/>
      <c r="E159" s="109"/>
      <c r="F159" s="109"/>
    </row>
    <row r="160">
      <c r="C160" s="108"/>
      <c r="D160" s="109"/>
      <c r="E160" s="109"/>
      <c r="F160" s="109"/>
    </row>
    <row r="161">
      <c r="C161" s="108"/>
      <c r="D161" s="109"/>
      <c r="E161" s="109"/>
      <c r="F161" s="109"/>
    </row>
    <row r="162">
      <c r="C162" s="108"/>
      <c r="D162" s="109"/>
      <c r="E162" s="109"/>
      <c r="F162" s="109"/>
    </row>
    <row r="163">
      <c r="C163" s="108"/>
      <c r="D163" s="109"/>
      <c r="E163" s="109"/>
      <c r="F163" s="109"/>
    </row>
    <row r="164">
      <c r="C164" s="108"/>
      <c r="D164" s="109"/>
      <c r="E164" s="109"/>
      <c r="F164" s="109"/>
    </row>
    <row r="165">
      <c r="C165" s="108"/>
      <c r="D165" s="109"/>
      <c r="E165" s="109"/>
      <c r="F165" s="109"/>
    </row>
    <row r="166">
      <c r="C166" s="108"/>
      <c r="D166" s="109"/>
      <c r="E166" s="109"/>
      <c r="F166" s="109"/>
    </row>
    <row r="167">
      <c r="C167" s="108"/>
      <c r="D167" s="109"/>
      <c r="E167" s="109"/>
      <c r="F167" s="109"/>
    </row>
    <row r="168">
      <c r="C168" s="108"/>
      <c r="D168" s="109"/>
      <c r="E168" s="109"/>
      <c r="F168" s="109"/>
    </row>
    <row r="169">
      <c r="C169" s="108"/>
      <c r="D169" s="109"/>
      <c r="E169" s="109"/>
      <c r="F169" s="109"/>
    </row>
    <row r="170">
      <c r="C170" s="108"/>
      <c r="D170" s="109"/>
      <c r="E170" s="109"/>
      <c r="F170" s="109"/>
    </row>
    <row r="171">
      <c r="C171" s="108"/>
      <c r="D171" s="109"/>
      <c r="E171" s="109"/>
      <c r="F171" s="109"/>
    </row>
    <row r="172">
      <c r="C172" s="108"/>
      <c r="D172" s="109"/>
      <c r="E172" s="109"/>
      <c r="F172" s="109"/>
    </row>
    <row r="173">
      <c r="C173" s="108"/>
      <c r="D173" s="109"/>
      <c r="E173" s="109"/>
      <c r="F173" s="109"/>
    </row>
    <row r="174">
      <c r="C174" s="108"/>
      <c r="D174" s="109"/>
      <c r="E174" s="109"/>
      <c r="F174" s="109"/>
    </row>
    <row r="175">
      <c r="C175" s="108"/>
      <c r="D175" s="109"/>
      <c r="E175" s="109"/>
      <c r="F175" s="109"/>
    </row>
    <row r="176">
      <c r="C176" s="108"/>
      <c r="D176" s="109"/>
      <c r="E176" s="109"/>
      <c r="F176" s="109"/>
    </row>
    <row r="177">
      <c r="C177" s="108"/>
      <c r="D177" s="109"/>
      <c r="E177" s="109"/>
      <c r="F177" s="109"/>
    </row>
    <row r="178">
      <c r="C178" s="108"/>
      <c r="D178" s="109"/>
      <c r="E178" s="109"/>
      <c r="F178" s="109"/>
    </row>
    <row r="179">
      <c r="C179" s="108"/>
      <c r="D179" s="109"/>
      <c r="E179" s="109"/>
      <c r="F179" s="109"/>
    </row>
    <row r="180">
      <c r="C180" s="108"/>
      <c r="D180" s="109"/>
      <c r="E180" s="109"/>
      <c r="F180" s="109"/>
    </row>
    <row r="181">
      <c r="C181" s="108"/>
      <c r="D181" s="109"/>
      <c r="E181" s="109"/>
      <c r="F181" s="109"/>
    </row>
    <row r="182">
      <c r="C182" s="108"/>
      <c r="D182" s="109"/>
      <c r="E182" s="109"/>
      <c r="F182" s="109"/>
    </row>
    <row r="183">
      <c r="C183" s="108"/>
      <c r="D183" s="109"/>
      <c r="E183" s="109"/>
      <c r="F183" s="109"/>
    </row>
    <row r="184">
      <c r="C184" s="108"/>
      <c r="D184" s="109"/>
      <c r="E184" s="109"/>
      <c r="F184" s="109"/>
    </row>
    <row r="185">
      <c r="C185" s="108"/>
      <c r="D185" s="109"/>
      <c r="E185" s="109"/>
      <c r="F185" s="109"/>
    </row>
    <row r="186">
      <c r="C186" s="108"/>
      <c r="D186" s="109"/>
      <c r="E186" s="109"/>
      <c r="F186" s="109"/>
    </row>
    <row r="187">
      <c r="C187" s="108"/>
      <c r="D187" s="109"/>
      <c r="E187" s="109"/>
      <c r="F187" s="109"/>
    </row>
    <row r="188">
      <c r="C188" s="108"/>
      <c r="D188" s="109"/>
      <c r="E188" s="109"/>
      <c r="F188" s="109"/>
    </row>
    <row r="189">
      <c r="C189" s="108"/>
      <c r="D189" s="109"/>
      <c r="E189" s="109"/>
      <c r="F189" s="109"/>
    </row>
    <row r="190">
      <c r="C190" s="108"/>
      <c r="D190" s="109"/>
      <c r="E190" s="109"/>
      <c r="F190" s="109"/>
    </row>
    <row r="191">
      <c r="C191" s="108"/>
      <c r="D191" s="109"/>
      <c r="E191" s="109"/>
      <c r="F191" s="109"/>
    </row>
    <row r="192">
      <c r="C192" s="108"/>
      <c r="D192" s="109"/>
      <c r="E192" s="109"/>
      <c r="F192" s="109"/>
    </row>
    <row r="193">
      <c r="C193" s="108"/>
      <c r="D193" s="109"/>
      <c r="E193" s="109"/>
      <c r="F193" s="109"/>
    </row>
    <row r="194">
      <c r="C194" s="108"/>
      <c r="D194" s="109"/>
      <c r="E194" s="109"/>
      <c r="F194" s="109"/>
    </row>
    <row r="195">
      <c r="C195" s="108"/>
      <c r="D195" s="109"/>
      <c r="E195" s="109"/>
      <c r="F195" s="109"/>
    </row>
    <row r="196">
      <c r="C196" s="108"/>
      <c r="D196" s="109"/>
      <c r="E196" s="109"/>
      <c r="F196" s="109"/>
    </row>
    <row r="197">
      <c r="C197" s="108"/>
      <c r="D197" s="109"/>
      <c r="E197" s="109"/>
      <c r="F197" s="109"/>
    </row>
    <row r="198">
      <c r="C198" s="108"/>
      <c r="D198" s="109"/>
      <c r="E198" s="109"/>
      <c r="F198" s="109"/>
    </row>
    <row r="199">
      <c r="C199" s="108"/>
      <c r="D199" s="109"/>
      <c r="E199" s="109"/>
      <c r="F199" s="109"/>
    </row>
    <row r="200">
      <c r="C200" s="108"/>
      <c r="D200" s="109"/>
      <c r="E200" s="109"/>
      <c r="F200" s="109"/>
    </row>
    <row r="201">
      <c r="C201" s="108"/>
      <c r="D201" s="109"/>
      <c r="E201" s="109"/>
      <c r="F201" s="109"/>
    </row>
    <row r="202">
      <c r="C202" s="108"/>
      <c r="D202" s="109"/>
      <c r="E202" s="109"/>
      <c r="F202" s="109"/>
    </row>
    <row r="203">
      <c r="C203" s="108"/>
      <c r="D203" s="109"/>
      <c r="E203" s="109"/>
      <c r="F203" s="109"/>
    </row>
    <row r="204">
      <c r="C204" s="108"/>
      <c r="D204" s="109"/>
      <c r="E204" s="109"/>
      <c r="F204" s="109"/>
    </row>
    <row r="205">
      <c r="C205" s="108"/>
      <c r="D205" s="109"/>
      <c r="E205" s="109"/>
      <c r="F205" s="109"/>
    </row>
    <row r="206">
      <c r="C206" s="108"/>
      <c r="D206" s="109"/>
      <c r="E206" s="109"/>
      <c r="F206" s="109"/>
    </row>
    <row r="207">
      <c r="C207" s="108"/>
      <c r="D207" s="109"/>
      <c r="E207" s="109"/>
      <c r="F207" s="109"/>
    </row>
    <row r="208">
      <c r="C208" s="108"/>
      <c r="D208" s="109"/>
      <c r="E208" s="109"/>
      <c r="F208" s="109"/>
    </row>
    <row r="209">
      <c r="C209" s="108"/>
      <c r="D209" s="109"/>
      <c r="E209" s="109"/>
      <c r="F209" s="109"/>
    </row>
    <row r="210">
      <c r="C210" s="108"/>
      <c r="D210" s="109"/>
      <c r="E210" s="109"/>
      <c r="F210" s="109"/>
    </row>
    <row r="211">
      <c r="C211" s="108"/>
      <c r="D211" s="109"/>
      <c r="E211" s="109"/>
      <c r="F211" s="109"/>
    </row>
    <row r="212">
      <c r="C212" s="108"/>
      <c r="D212" s="109"/>
      <c r="E212" s="109"/>
      <c r="F212" s="109"/>
    </row>
    <row r="213">
      <c r="C213" s="108"/>
      <c r="D213" s="109"/>
      <c r="E213" s="109"/>
      <c r="F213" s="109"/>
    </row>
    <row r="214">
      <c r="C214" s="108"/>
      <c r="D214" s="109"/>
      <c r="E214" s="109"/>
      <c r="F214" s="109"/>
    </row>
    <row r="215">
      <c r="C215" s="108"/>
      <c r="D215" s="109"/>
      <c r="E215" s="109"/>
      <c r="F215" s="109"/>
    </row>
    <row r="216">
      <c r="C216" s="108"/>
      <c r="D216" s="109"/>
      <c r="E216" s="109"/>
      <c r="F216" s="109"/>
    </row>
    <row r="217">
      <c r="C217" s="108"/>
      <c r="D217" s="109"/>
      <c r="E217" s="109"/>
      <c r="F217" s="109"/>
    </row>
    <row r="218">
      <c r="C218" s="108"/>
      <c r="D218" s="109"/>
      <c r="E218" s="109"/>
      <c r="F218" s="109"/>
    </row>
    <row r="219">
      <c r="C219" s="108"/>
      <c r="D219" s="109"/>
      <c r="E219" s="109"/>
      <c r="F219" s="109"/>
    </row>
    <row r="220">
      <c r="C220" s="108"/>
      <c r="D220" s="109"/>
      <c r="E220" s="109"/>
      <c r="F220" s="109"/>
    </row>
    <row r="221">
      <c r="C221" s="108"/>
      <c r="D221" s="109"/>
      <c r="E221" s="109"/>
      <c r="F221" s="109"/>
    </row>
    <row r="222">
      <c r="C222" s="108"/>
      <c r="D222" s="109"/>
      <c r="E222" s="109"/>
      <c r="F222" s="109"/>
    </row>
    <row r="223">
      <c r="C223" s="108"/>
      <c r="D223" s="109"/>
      <c r="E223" s="109"/>
      <c r="F223" s="109"/>
    </row>
    <row r="224">
      <c r="C224" s="108"/>
      <c r="D224" s="109"/>
      <c r="E224" s="109"/>
      <c r="F224" s="109"/>
    </row>
    <row r="225">
      <c r="C225" s="108"/>
      <c r="D225" s="109"/>
      <c r="E225" s="109"/>
      <c r="F225" s="109"/>
    </row>
    <row r="226">
      <c r="C226" s="108"/>
      <c r="D226" s="109"/>
      <c r="E226" s="109"/>
      <c r="F226" s="109"/>
    </row>
    <row r="227">
      <c r="C227" s="108"/>
      <c r="D227" s="109"/>
      <c r="E227" s="109"/>
      <c r="F227" s="109"/>
    </row>
    <row r="228">
      <c r="C228" s="108"/>
      <c r="D228" s="109"/>
      <c r="E228" s="109"/>
      <c r="F228" s="109"/>
    </row>
    <row r="229">
      <c r="C229" s="108"/>
      <c r="D229" s="109"/>
      <c r="E229" s="109"/>
      <c r="F229" s="109"/>
    </row>
    <row r="230">
      <c r="C230" s="108"/>
      <c r="D230" s="109"/>
      <c r="E230" s="109"/>
      <c r="F230" s="109"/>
    </row>
    <row r="231">
      <c r="C231" s="108"/>
      <c r="D231" s="109"/>
      <c r="E231" s="109"/>
      <c r="F231" s="109"/>
    </row>
    <row r="232">
      <c r="C232" s="108"/>
      <c r="D232" s="109"/>
      <c r="E232" s="109"/>
      <c r="F232" s="109"/>
    </row>
    <row r="233">
      <c r="C233" s="108"/>
      <c r="D233" s="109"/>
      <c r="E233" s="109"/>
      <c r="F233" s="109"/>
    </row>
    <row r="234">
      <c r="C234" s="108"/>
      <c r="D234" s="109"/>
      <c r="E234" s="109"/>
      <c r="F234" s="109"/>
    </row>
    <row r="235">
      <c r="C235" s="108"/>
      <c r="D235" s="109"/>
      <c r="E235" s="109"/>
      <c r="F235" s="109"/>
    </row>
    <row r="236">
      <c r="C236" s="108"/>
      <c r="D236" s="109"/>
      <c r="E236" s="109"/>
      <c r="F236" s="109"/>
    </row>
    <row r="237">
      <c r="C237" s="108"/>
      <c r="D237" s="109"/>
      <c r="E237" s="109"/>
      <c r="F237" s="109"/>
    </row>
    <row r="238">
      <c r="C238" s="108"/>
      <c r="D238" s="109"/>
      <c r="E238" s="109"/>
      <c r="F238" s="109"/>
    </row>
    <row r="239">
      <c r="C239" s="108"/>
      <c r="D239" s="109"/>
      <c r="E239" s="109"/>
      <c r="F239" s="109"/>
    </row>
    <row r="240">
      <c r="C240" s="108"/>
      <c r="D240" s="109"/>
      <c r="E240" s="109"/>
      <c r="F240" s="109"/>
    </row>
    <row r="241">
      <c r="C241" s="108"/>
      <c r="D241" s="109"/>
      <c r="E241" s="109"/>
      <c r="F241" s="109"/>
    </row>
    <row r="242">
      <c r="C242" s="108"/>
      <c r="D242" s="109"/>
      <c r="E242" s="109"/>
      <c r="F242" s="109"/>
    </row>
    <row r="243">
      <c r="C243" s="108"/>
      <c r="D243" s="109"/>
      <c r="E243" s="109"/>
      <c r="F243" s="109"/>
    </row>
    <row r="244">
      <c r="C244" s="108"/>
      <c r="D244" s="109"/>
      <c r="E244" s="109"/>
      <c r="F244" s="109"/>
    </row>
    <row r="245">
      <c r="C245" s="108"/>
      <c r="D245" s="109"/>
      <c r="E245" s="109"/>
      <c r="F245" s="109"/>
    </row>
    <row r="246">
      <c r="C246" s="108"/>
      <c r="D246" s="109"/>
      <c r="E246" s="109"/>
      <c r="F246" s="109"/>
    </row>
    <row r="247">
      <c r="C247" s="108"/>
      <c r="D247" s="109"/>
      <c r="E247" s="109"/>
      <c r="F247" s="109"/>
    </row>
    <row r="248">
      <c r="C248" s="108"/>
      <c r="D248" s="109"/>
      <c r="E248" s="109"/>
      <c r="F248" s="109"/>
    </row>
    <row r="249">
      <c r="C249" s="108"/>
      <c r="D249" s="109"/>
      <c r="E249" s="109"/>
      <c r="F249" s="109"/>
    </row>
    <row r="250">
      <c r="C250" s="108"/>
      <c r="D250" s="109"/>
      <c r="E250" s="109"/>
      <c r="F250" s="109"/>
    </row>
    <row r="251">
      <c r="C251" s="108"/>
      <c r="D251" s="109"/>
      <c r="E251" s="109"/>
      <c r="F251" s="109"/>
    </row>
    <row r="252">
      <c r="C252" s="108"/>
      <c r="D252" s="109"/>
      <c r="E252" s="109"/>
      <c r="F252" s="109"/>
    </row>
    <row r="253">
      <c r="C253" s="108"/>
      <c r="D253" s="109"/>
      <c r="E253" s="109"/>
      <c r="F253" s="109"/>
    </row>
    <row r="254">
      <c r="C254" s="108"/>
      <c r="D254" s="109"/>
      <c r="E254" s="109"/>
      <c r="F254" s="109"/>
    </row>
    <row r="255">
      <c r="C255" s="108"/>
      <c r="D255" s="109"/>
      <c r="E255" s="109"/>
      <c r="F255" s="109"/>
    </row>
    <row r="256">
      <c r="C256" s="108"/>
      <c r="D256" s="109"/>
      <c r="E256" s="109"/>
      <c r="F256" s="109"/>
    </row>
    <row r="257">
      <c r="C257" s="108"/>
      <c r="D257" s="109"/>
      <c r="E257" s="109"/>
      <c r="F257" s="109"/>
    </row>
    <row r="258">
      <c r="C258" s="108"/>
      <c r="D258" s="109"/>
      <c r="E258" s="109"/>
      <c r="F258" s="109"/>
    </row>
    <row r="259">
      <c r="C259" s="108"/>
      <c r="D259" s="109"/>
      <c r="E259" s="109"/>
      <c r="F259" s="109"/>
    </row>
    <row r="260">
      <c r="C260" s="108"/>
      <c r="D260" s="109"/>
      <c r="E260" s="109"/>
      <c r="F260" s="109"/>
    </row>
    <row r="261">
      <c r="C261" s="108"/>
      <c r="D261" s="109"/>
      <c r="E261" s="109"/>
      <c r="F261" s="109"/>
    </row>
    <row r="262">
      <c r="C262" s="108"/>
      <c r="D262" s="109"/>
      <c r="E262" s="109"/>
      <c r="F262" s="109"/>
    </row>
    <row r="263">
      <c r="C263" s="108"/>
      <c r="D263" s="109"/>
      <c r="E263" s="109"/>
      <c r="F263" s="109"/>
    </row>
    <row r="264">
      <c r="C264" s="108"/>
      <c r="D264" s="109"/>
      <c r="E264" s="109"/>
      <c r="F264" s="109"/>
    </row>
    <row r="265">
      <c r="C265" s="108"/>
      <c r="D265" s="109"/>
      <c r="E265" s="109"/>
      <c r="F265" s="109"/>
    </row>
    <row r="266">
      <c r="C266" s="108"/>
      <c r="D266" s="109"/>
      <c r="E266" s="109"/>
      <c r="F266" s="109"/>
    </row>
    <row r="267">
      <c r="C267" s="108"/>
      <c r="D267" s="109"/>
      <c r="E267" s="109"/>
      <c r="F267" s="109"/>
    </row>
    <row r="268">
      <c r="C268" s="108"/>
      <c r="D268" s="109"/>
      <c r="E268" s="109"/>
      <c r="F268" s="109"/>
    </row>
    <row r="269">
      <c r="C269" s="108"/>
      <c r="D269" s="109"/>
      <c r="E269" s="109"/>
      <c r="F269" s="109"/>
    </row>
    <row r="270">
      <c r="C270" s="108"/>
      <c r="D270" s="109"/>
      <c r="E270" s="109"/>
      <c r="F270" s="109"/>
    </row>
    <row r="271">
      <c r="C271" s="108"/>
      <c r="D271" s="109"/>
      <c r="E271" s="109"/>
      <c r="F271" s="109"/>
    </row>
    <row r="272">
      <c r="C272" s="108"/>
      <c r="D272" s="109"/>
      <c r="E272" s="109"/>
      <c r="F272" s="109"/>
    </row>
    <row r="273">
      <c r="C273" s="108"/>
      <c r="D273" s="109"/>
      <c r="E273" s="109"/>
      <c r="F273" s="109"/>
    </row>
    <row r="274">
      <c r="C274" s="108"/>
      <c r="D274" s="109"/>
      <c r="E274" s="109"/>
      <c r="F274" s="109"/>
    </row>
    <row r="275">
      <c r="C275" s="108"/>
      <c r="D275" s="109"/>
      <c r="E275" s="109"/>
      <c r="F275" s="109"/>
    </row>
    <row r="276">
      <c r="C276" s="108"/>
      <c r="D276" s="109"/>
      <c r="E276" s="109"/>
      <c r="F276" s="109"/>
    </row>
    <row r="277">
      <c r="C277" s="108"/>
      <c r="D277" s="109"/>
      <c r="E277" s="109"/>
      <c r="F277" s="109"/>
    </row>
    <row r="278">
      <c r="C278" s="108"/>
      <c r="D278" s="109"/>
      <c r="E278" s="109"/>
      <c r="F278" s="109"/>
    </row>
    <row r="279">
      <c r="C279" s="108"/>
      <c r="D279" s="109"/>
      <c r="E279" s="109"/>
      <c r="F279" s="109"/>
    </row>
    <row r="280">
      <c r="C280" s="108"/>
      <c r="D280" s="109"/>
      <c r="E280" s="109"/>
      <c r="F280" s="109"/>
    </row>
    <row r="281">
      <c r="C281" s="108"/>
      <c r="D281" s="109"/>
      <c r="E281" s="109"/>
      <c r="F281" s="109"/>
    </row>
    <row r="282">
      <c r="C282" s="108"/>
      <c r="D282" s="109"/>
      <c r="E282" s="109"/>
      <c r="F282" s="109"/>
    </row>
    <row r="283">
      <c r="C283" s="108"/>
      <c r="D283" s="109"/>
      <c r="E283" s="109"/>
      <c r="F283" s="109"/>
    </row>
    <row r="284">
      <c r="C284" s="108"/>
      <c r="D284" s="109"/>
      <c r="E284" s="109"/>
      <c r="F284" s="109"/>
    </row>
    <row r="285">
      <c r="C285" s="108"/>
      <c r="D285" s="109"/>
      <c r="E285" s="109"/>
      <c r="F285" s="109"/>
    </row>
    <row r="286">
      <c r="C286" s="108"/>
      <c r="D286" s="109"/>
      <c r="E286" s="109"/>
      <c r="F286" s="109"/>
    </row>
    <row r="287">
      <c r="C287" s="108"/>
      <c r="D287" s="109"/>
      <c r="E287" s="109"/>
      <c r="F287" s="109"/>
    </row>
    <row r="288">
      <c r="C288" s="108"/>
      <c r="D288" s="109"/>
      <c r="E288" s="109"/>
      <c r="F288" s="109"/>
    </row>
    <row r="289">
      <c r="C289" s="108"/>
      <c r="D289" s="109"/>
      <c r="E289" s="109"/>
      <c r="F289" s="109"/>
    </row>
    <row r="290">
      <c r="C290" s="108"/>
      <c r="D290" s="109"/>
      <c r="E290" s="109"/>
      <c r="F290" s="109"/>
    </row>
    <row r="291">
      <c r="C291" s="108"/>
      <c r="D291" s="109"/>
      <c r="E291" s="109"/>
      <c r="F291" s="109"/>
    </row>
    <row r="292">
      <c r="C292" s="108"/>
      <c r="D292" s="109"/>
      <c r="E292" s="109"/>
      <c r="F292" s="109"/>
    </row>
    <row r="293">
      <c r="C293" s="108"/>
      <c r="D293" s="109"/>
      <c r="E293" s="109"/>
      <c r="F293" s="109"/>
    </row>
    <row r="294">
      <c r="C294" s="108"/>
      <c r="D294" s="109"/>
      <c r="E294" s="109"/>
      <c r="F294" s="109"/>
    </row>
    <row r="295">
      <c r="C295" s="108"/>
      <c r="D295" s="109"/>
      <c r="E295" s="109"/>
      <c r="F295" s="109"/>
    </row>
    <row r="296">
      <c r="C296" s="108"/>
      <c r="D296" s="109"/>
      <c r="E296" s="109"/>
      <c r="F296" s="109"/>
    </row>
    <row r="297">
      <c r="C297" s="108"/>
      <c r="D297" s="109"/>
      <c r="E297" s="109"/>
      <c r="F297" s="109"/>
    </row>
    <row r="298">
      <c r="C298" s="108"/>
      <c r="D298" s="109"/>
      <c r="E298" s="109"/>
      <c r="F298" s="109"/>
    </row>
    <row r="299">
      <c r="C299" s="108"/>
      <c r="D299" s="109"/>
      <c r="E299" s="109"/>
      <c r="F299" s="109"/>
    </row>
    <row r="300">
      <c r="C300" s="108"/>
      <c r="D300" s="109"/>
      <c r="E300" s="109"/>
      <c r="F300" s="109"/>
    </row>
    <row r="301">
      <c r="C301" s="108"/>
      <c r="D301" s="109"/>
      <c r="E301" s="109"/>
      <c r="F301" s="109"/>
    </row>
    <row r="302">
      <c r="C302" s="108"/>
      <c r="D302" s="109"/>
      <c r="E302" s="109"/>
      <c r="F302" s="109"/>
    </row>
    <row r="303">
      <c r="C303" s="108"/>
      <c r="D303" s="109"/>
      <c r="E303" s="109"/>
      <c r="F303" s="109"/>
    </row>
    <row r="304">
      <c r="C304" s="108"/>
      <c r="D304" s="109"/>
      <c r="E304" s="109"/>
      <c r="F304" s="109"/>
    </row>
    <row r="305">
      <c r="C305" s="108"/>
      <c r="D305" s="109"/>
      <c r="E305" s="109"/>
      <c r="F305" s="109"/>
    </row>
    <row r="306">
      <c r="C306" s="108"/>
      <c r="D306" s="109"/>
      <c r="E306" s="109"/>
      <c r="F306" s="109"/>
    </row>
    <row r="307">
      <c r="C307" s="108"/>
      <c r="D307" s="109"/>
      <c r="E307" s="109"/>
      <c r="F307" s="109"/>
    </row>
    <row r="308">
      <c r="C308" s="108"/>
      <c r="D308" s="109"/>
      <c r="E308" s="109"/>
      <c r="F308" s="109"/>
    </row>
    <row r="309">
      <c r="C309" s="108"/>
      <c r="D309" s="109"/>
      <c r="E309" s="109"/>
      <c r="F309" s="109"/>
    </row>
    <row r="310">
      <c r="C310" s="108"/>
      <c r="D310" s="109"/>
      <c r="E310" s="109"/>
      <c r="F310" s="109"/>
    </row>
    <row r="311">
      <c r="C311" s="108"/>
      <c r="D311" s="109"/>
      <c r="E311" s="109"/>
      <c r="F311" s="109"/>
    </row>
    <row r="312">
      <c r="C312" s="108"/>
      <c r="D312" s="109"/>
      <c r="E312" s="109"/>
      <c r="F312" s="109"/>
    </row>
    <row r="313">
      <c r="C313" s="108"/>
      <c r="D313" s="109"/>
      <c r="E313" s="109"/>
      <c r="F313" s="109"/>
    </row>
    <row r="314">
      <c r="C314" s="108"/>
      <c r="D314" s="109"/>
      <c r="E314" s="109"/>
      <c r="F314" s="109"/>
    </row>
    <row r="315">
      <c r="C315" s="108"/>
      <c r="D315" s="109"/>
      <c r="E315" s="109"/>
      <c r="F315" s="109"/>
    </row>
    <row r="316">
      <c r="C316" s="108"/>
      <c r="D316" s="109"/>
      <c r="E316" s="109"/>
      <c r="F316" s="109"/>
    </row>
    <row r="317">
      <c r="C317" s="108"/>
      <c r="D317" s="109"/>
      <c r="E317" s="109"/>
      <c r="F317" s="109"/>
    </row>
    <row r="318">
      <c r="C318" s="108"/>
      <c r="D318" s="109"/>
      <c r="E318" s="109"/>
      <c r="F318" s="109"/>
    </row>
    <row r="319">
      <c r="C319" s="108"/>
      <c r="D319" s="109"/>
      <c r="E319" s="109"/>
      <c r="F319" s="109"/>
    </row>
    <row r="320">
      <c r="C320" s="108"/>
      <c r="D320" s="109"/>
      <c r="E320" s="109"/>
      <c r="F320" s="109"/>
    </row>
    <row r="321">
      <c r="C321" s="108"/>
      <c r="D321" s="109"/>
      <c r="E321" s="109"/>
      <c r="F321" s="109"/>
    </row>
    <row r="322">
      <c r="C322" s="108"/>
      <c r="D322" s="109"/>
      <c r="E322" s="109"/>
      <c r="F322" s="109"/>
    </row>
    <row r="323">
      <c r="C323" s="108"/>
      <c r="D323" s="109"/>
      <c r="E323" s="109"/>
      <c r="F323" s="109"/>
    </row>
    <row r="324">
      <c r="C324" s="108"/>
      <c r="D324" s="109"/>
      <c r="E324" s="109"/>
      <c r="F324" s="109"/>
    </row>
    <row r="325">
      <c r="C325" s="108"/>
      <c r="D325" s="109"/>
      <c r="E325" s="109"/>
      <c r="F325" s="109"/>
    </row>
    <row r="326">
      <c r="C326" s="108"/>
      <c r="D326" s="109"/>
      <c r="E326" s="109"/>
      <c r="F326" s="109"/>
    </row>
    <row r="327">
      <c r="C327" s="108"/>
      <c r="D327" s="109"/>
      <c r="E327" s="109"/>
      <c r="F327" s="109"/>
    </row>
    <row r="328">
      <c r="C328" s="108"/>
      <c r="D328" s="109"/>
      <c r="E328" s="109"/>
      <c r="F328" s="109"/>
    </row>
    <row r="329">
      <c r="C329" s="108"/>
      <c r="D329" s="109"/>
      <c r="E329" s="109"/>
      <c r="F329" s="109"/>
    </row>
    <row r="330">
      <c r="C330" s="108"/>
      <c r="D330" s="109"/>
      <c r="E330" s="109"/>
      <c r="F330" s="109"/>
    </row>
    <row r="331">
      <c r="C331" s="108"/>
      <c r="D331" s="109"/>
      <c r="E331" s="109"/>
      <c r="F331" s="109"/>
    </row>
    <row r="332">
      <c r="C332" s="108"/>
      <c r="D332" s="109"/>
      <c r="E332" s="109"/>
      <c r="F332" s="109"/>
    </row>
    <row r="333">
      <c r="C333" s="108"/>
      <c r="D333" s="109"/>
      <c r="E333" s="109"/>
      <c r="F333" s="109"/>
    </row>
    <row r="334">
      <c r="C334" s="108"/>
      <c r="D334" s="109"/>
      <c r="E334" s="109"/>
      <c r="F334" s="109"/>
    </row>
    <row r="335">
      <c r="C335" s="108"/>
      <c r="D335" s="109"/>
      <c r="E335" s="109"/>
      <c r="F335" s="109"/>
    </row>
    <row r="336">
      <c r="C336" s="108"/>
      <c r="D336" s="109"/>
      <c r="E336" s="109"/>
      <c r="F336" s="109"/>
    </row>
    <row r="337">
      <c r="C337" s="108"/>
      <c r="D337" s="109"/>
      <c r="E337" s="109"/>
      <c r="F337" s="109"/>
    </row>
    <row r="338">
      <c r="C338" s="108"/>
      <c r="D338" s="109"/>
      <c r="E338" s="109"/>
      <c r="F338" s="109"/>
    </row>
    <row r="339">
      <c r="C339" s="108"/>
      <c r="D339" s="109"/>
      <c r="E339" s="109"/>
      <c r="F339" s="109"/>
    </row>
    <row r="340">
      <c r="C340" s="108"/>
      <c r="D340" s="109"/>
      <c r="E340" s="109"/>
      <c r="F340" s="109"/>
    </row>
    <row r="341">
      <c r="C341" s="108"/>
      <c r="D341" s="109"/>
      <c r="E341" s="109"/>
      <c r="F341" s="109"/>
    </row>
    <row r="342">
      <c r="C342" s="108"/>
      <c r="D342" s="109"/>
      <c r="E342" s="109"/>
      <c r="F342" s="109"/>
    </row>
    <row r="343">
      <c r="C343" s="108"/>
      <c r="D343" s="109"/>
      <c r="E343" s="109"/>
      <c r="F343" s="109"/>
    </row>
    <row r="344">
      <c r="C344" s="108"/>
      <c r="D344" s="109"/>
      <c r="E344" s="109"/>
      <c r="F344" s="109"/>
    </row>
    <row r="345">
      <c r="C345" s="108"/>
      <c r="D345" s="109"/>
      <c r="E345" s="109"/>
      <c r="F345" s="109"/>
    </row>
    <row r="346">
      <c r="C346" s="108"/>
      <c r="D346" s="109"/>
      <c r="E346" s="109"/>
      <c r="F346" s="109"/>
    </row>
    <row r="347">
      <c r="C347" s="108"/>
      <c r="D347" s="109"/>
      <c r="E347" s="109"/>
      <c r="F347" s="109"/>
    </row>
    <row r="348">
      <c r="C348" s="108"/>
      <c r="D348" s="109"/>
      <c r="E348" s="109"/>
      <c r="F348" s="109"/>
    </row>
    <row r="349">
      <c r="C349" s="108"/>
      <c r="D349" s="109"/>
      <c r="E349" s="109"/>
      <c r="F349" s="109"/>
    </row>
    <row r="350">
      <c r="C350" s="108"/>
      <c r="D350" s="109"/>
      <c r="E350" s="109"/>
      <c r="F350" s="109"/>
    </row>
    <row r="351">
      <c r="C351" s="108"/>
      <c r="D351" s="109"/>
      <c r="E351" s="109"/>
      <c r="F351" s="109"/>
    </row>
    <row r="352">
      <c r="C352" s="108"/>
      <c r="D352" s="109"/>
      <c r="E352" s="109"/>
      <c r="F352" s="109"/>
    </row>
    <row r="353">
      <c r="C353" s="108"/>
      <c r="D353" s="109"/>
      <c r="E353" s="109"/>
      <c r="F353" s="109"/>
    </row>
    <row r="354">
      <c r="C354" s="108"/>
      <c r="D354" s="109"/>
      <c r="E354" s="109"/>
      <c r="F354" s="109"/>
    </row>
    <row r="355">
      <c r="C355" s="108"/>
      <c r="D355" s="109"/>
      <c r="E355" s="109"/>
      <c r="F355" s="109"/>
    </row>
    <row r="356">
      <c r="C356" s="108"/>
      <c r="D356" s="109"/>
      <c r="E356" s="109"/>
      <c r="F356" s="109"/>
    </row>
    <row r="357">
      <c r="C357" s="108"/>
      <c r="D357" s="109"/>
      <c r="E357" s="109"/>
      <c r="F357" s="109"/>
    </row>
    <row r="358">
      <c r="C358" s="108"/>
      <c r="D358" s="109"/>
      <c r="E358" s="109"/>
      <c r="F358" s="109"/>
    </row>
    <row r="359">
      <c r="C359" s="108"/>
      <c r="D359" s="109"/>
      <c r="E359" s="109"/>
      <c r="F359" s="109"/>
    </row>
    <row r="360">
      <c r="C360" s="108"/>
      <c r="D360" s="109"/>
      <c r="E360" s="109"/>
      <c r="F360" s="109"/>
    </row>
    <row r="361">
      <c r="C361" s="108"/>
      <c r="D361" s="109"/>
      <c r="E361" s="109"/>
      <c r="F361" s="109"/>
    </row>
    <row r="362">
      <c r="C362" s="108"/>
      <c r="D362" s="109"/>
      <c r="E362" s="109"/>
      <c r="F362" s="109"/>
    </row>
    <row r="363">
      <c r="C363" s="108"/>
      <c r="D363" s="109"/>
      <c r="E363" s="109"/>
      <c r="F363" s="109"/>
    </row>
    <row r="364">
      <c r="C364" s="108"/>
      <c r="D364" s="109"/>
      <c r="E364" s="109"/>
      <c r="F364" s="109"/>
    </row>
    <row r="365">
      <c r="C365" s="108"/>
      <c r="D365" s="109"/>
      <c r="E365" s="109"/>
      <c r="F365" s="109"/>
    </row>
    <row r="366">
      <c r="C366" s="108"/>
      <c r="D366" s="109"/>
      <c r="E366" s="109"/>
      <c r="F366" s="109"/>
    </row>
    <row r="367">
      <c r="C367" s="108"/>
      <c r="D367" s="109"/>
      <c r="E367" s="109"/>
      <c r="F367" s="109"/>
    </row>
    <row r="368">
      <c r="C368" s="108"/>
      <c r="D368" s="109"/>
      <c r="E368" s="109"/>
      <c r="F368" s="109"/>
    </row>
    <row r="369">
      <c r="C369" s="108"/>
      <c r="D369" s="109"/>
      <c r="E369" s="109"/>
      <c r="F369" s="109"/>
    </row>
    <row r="370">
      <c r="C370" s="108"/>
      <c r="D370" s="109"/>
      <c r="E370" s="109"/>
      <c r="F370" s="109"/>
    </row>
    <row r="371">
      <c r="C371" s="108"/>
      <c r="D371" s="109"/>
      <c r="E371" s="109"/>
      <c r="F371" s="109"/>
    </row>
    <row r="372">
      <c r="C372" s="108"/>
      <c r="D372" s="109"/>
      <c r="E372" s="109"/>
      <c r="F372" s="109"/>
    </row>
    <row r="373">
      <c r="C373" s="108"/>
      <c r="D373" s="109"/>
      <c r="E373" s="109"/>
      <c r="F373" s="109"/>
    </row>
    <row r="374">
      <c r="C374" s="108"/>
      <c r="D374" s="109"/>
      <c r="E374" s="109"/>
      <c r="F374" s="109"/>
    </row>
    <row r="375">
      <c r="C375" s="108"/>
      <c r="D375" s="109"/>
      <c r="E375" s="109"/>
      <c r="F375" s="109"/>
    </row>
    <row r="376">
      <c r="C376" s="108"/>
      <c r="D376" s="109"/>
      <c r="E376" s="109"/>
      <c r="F376" s="109"/>
    </row>
    <row r="377">
      <c r="C377" s="108"/>
      <c r="D377" s="109"/>
      <c r="E377" s="109"/>
      <c r="F377" s="109"/>
    </row>
    <row r="378">
      <c r="C378" s="108"/>
      <c r="D378" s="109"/>
      <c r="E378" s="109"/>
      <c r="F378" s="109"/>
    </row>
    <row r="379">
      <c r="C379" s="108"/>
      <c r="D379" s="109"/>
      <c r="E379" s="109"/>
      <c r="F379" s="109"/>
    </row>
    <row r="380">
      <c r="C380" s="108"/>
      <c r="D380" s="109"/>
      <c r="E380" s="109"/>
      <c r="F380" s="109"/>
    </row>
    <row r="381">
      <c r="C381" s="108"/>
      <c r="D381" s="109"/>
      <c r="E381" s="109"/>
      <c r="F381" s="109"/>
    </row>
    <row r="382">
      <c r="C382" s="108"/>
      <c r="D382" s="109"/>
      <c r="E382" s="109"/>
      <c r="F382" s="109"/>
    </row>
    <row r="383">
      <c r="C383" s="108"/>
      <c r="D383" s="109"/>
      <c r="E383" s="109"/>
      <c r="F383" s="109"/>
    </row>
    <row r="384">
      <c r="C384" s="108"/>
      <c r="D384" s="109"/>
      <c r="E384" s="109"/>
      <c r="F384" s="109"/>
    </row>
    <row r="385">
      <c r="C385" s="108"/>
      <c r="D385" s="109"/>
      <c r="E385" s="109"/>
      <c r="F385" s="109"/>
    </row>
    <row r="386">
      <c r="C386" s="108"/>
      <c r="D386" s="109"/>
      <c r="E386" s="109"/>
      <c r="F386" s="109"/>
    </row>
    <row r="387">
      <c r="C387" s="108"/>
      <c r="D387" s="109"/>
      <c r="E387" s="109"/>
      <c r="F387" s="109"/>
    </row>
    <row r="388">
      <c r="C388" s="108"/>
      <c r="D388" s="109"/>
      <c r="E388" s="109"/>
      <c r="F388" s="109"/>
    </row>
    <row r="389">
      <c r="C389" s="108"/>
      <c r="D389" s="109"/>
      <c r="E389" s="109"/>
      <c r="F389" s="109"/>
    </row>
    <row r="390">
      <c r="C390" s="108"/>
      <c r="D390" s="109"/>
      <c r="E390" s="109"/>
      <c r="F390" s="109"/>
    </row>
    <row r="391">
      <c r="C391" s="108"/>
      <c r="D391" s="109"/>
      <c r="E391" s="109"/>
      <c r="F391" s="109"/>
    </row>
    <row r="392">
      <c r="C392" s="108"/>
      <c r="D392" s="109"/>
      <c r="E392" s="109"/>
      <c r="F392" s="109"/>
    </row>
    <row r="393">
      <c r="C393" s="108"/>
      <c r="D393" s="109"/>
      <c r="E393" s="109"/>
      <c r="F393" s="109"/>
    </row>
    <row r="394">
      <c r="C394" s="108"/>
      <c r="D394" s="109"/>
      <c r="E394" s="109"/>
      <c r="F394" s="109"/>
    </row>
    <row r="395">
      <c r="C395" s="108"/>
      <c r="D395" s="109"/>
      <c r="E395" s="109"/>
      <c r="F395" s="109"/>
    </row>
    <row r="396">
      <c r="C396" s="108"/>
      <c r="D396" s="109"/>
      <c r="E396" s="109"/>
      <c r="F396" s="109"/>
    </row>
    <row r="397">
      <c r="C397" s="108"/>
      <c r="D397" s="109"/>
      <c r="E397" s="109"/>
      <c r="F397" s="109"/>
    </row>
    <row r="398">
      <c r="C398" s="108"/>
      <c r="D398" s="109"/>
      <c r="E398" s="109"/>
      <c r="F398" s="109"/>
    </row>
    <row r="399">
      <c r="C399" s="108"/>
      <c r="D399" s="109"/>
      <c r="E399" s="109"/>
      <c r="F399" s="109"/>
    </row>
    <row r="400">
      <c r="C400" s="108"/>
      <c r="D400" s="109"/>
      <c r="E400" s="109"/>
      <c r="F400" s="109"/>
    </row>
    <row r="401">
      <c r="C401" s="108"/>
      <c r="D401" s="109"/>
      <c r="E401" s="109"/>
      <c r="F401" s="109"/>
    </row>
    <row r="402">
      <c r="C402" s="108"/>
      <c r="D402" s="109"/>
      <c r="E402" s="109"/>
      <c r="F402" s="109"/>
    </row>
    <row r="403">
      <c r="C403" s="108"/>
      <c r="D403" s="109"/>
      <c r="E403" s="109"/>
      <c r="F403" s="109"/>
    </row>
    <row r="404">
      <c r="C404" s="108"/>
      <c r="D404" s="109"/>
      <c r="E404" s="109"/>
      <c r="F404" s="109"/>
    </row>
    <row r="405">
      <c r="C405" s="108"/>
      <c r="D405" s="109"/>
      <c r="E405" s="109"/>
      <c r="F405" s="109"/>
    </row>
    <row r="406">
      <c r="C406" s="108"/>
      <c r="D406" s="109"/>
      <c r="E406" s="109"/>
      <c r="F406" s="109"/>
    </row>
    <row r="407">
      <c r="C407" s="108"/>
      <c r="D407" s="109"/>
      <c r="E407" s="109"/>
      <c r="F407" s="109"/>
    </row>
    <row r="408">
      <c r="C408" s="108"/>
      <c r="D408" s="109"/>
      <c r="E408" s="109"/>
      <c r="F408" s="109"/>
    </row>
    <row r="409">
      <c r="C409" s="108"/>
      <c r="D409" s="109"/>
      <c r="E409" s="109"/>
      <c r="F409" s="109"/>
    </row>
    <row r="410">
      <c r="C410" s="108"/>
      <c r="D410" s="109"/>
      <c r="E410" s="109"/>
      <c r="F410" s="109"/>
    </row>
    <row r="411">
      <c r="C411" s="108"/>
      <c r="D411" s="109"/>
      <c r="E411" s="109"/>
      <c r="F411" s="109"/>
    </row>
    <row r="412">
      <c r="C412" s="108"/>
      <c r="D412" s="109"/>
      <c r="E412" s="109"/>
      <c r="F412" s="109"/>
    </row>
    <row r="413">
      <c r="C413" s="108"/>
      <c r="D413" s="109"/>
      <c r="E413" s="109"/>
      <c r="F413" s="109"/>
    </row>
    <row r="414">
      <c r="C414" s="108"/>
      <c r="D414" s="109"/>
      <c r="E414" s="109"/>
      <c r="F414" s="109"/>
    </row>
    <row r="415">
      <c r="C415" s="108"/>
      <c r="D415" s="109"/>
      <c r="E415" s="109"/>
      <c r="F415" s="109"/>
    </row>
    <row r="416">
      <c r="C416" s="108"/>
      <c r="D416" s="109"/>
      <c r="E416" s="109"/>
      <c r="F416" s="109"/>
    </row>
    <row r="417">
      <c r="C417" s="108"/>
      <c r="D417" s="109"/>
      <c r="E417" s="109"/>
      <c r="F417" s="109"/>
    </row>
    <row r="418">
      <c r="C418" s="108"/>
      <c r="D418" s="109"/>
      <c r="E418" s="109"/>
      <c r="F418" s="109"/>
    </row>
    <row r="419">
      <c r="C419" s="108"/>
      <c r="D419" s="109"/>
      <c r="E419" s="109"/>
      <c r="F419" s="109"/>
    </row>
    <row r="420">
      <c r="C420" s="108"/>
      <c r="D420" s="109"/>
      <c r="E420" s="109"/>
      <c r="F420" s="109"/>
    </row>
    <row r="421">
      <c r="C421" s="108"/>
      <c r="D421" s="109"/>
      <c r="E421" s="109"/>
      <c r="F421" s="109"/>
    </row>
    <row r="422">
      <c r="C422" s="108"/>
      <c r="D422" s="109"/>
      <c r="E422" s="109"/>
      <c r="F422" s="109"/>
    </row>
    <row r="423">
      <c r="C423" s="108"/>
      <c r="D423" s="109"/>
      <c r="E423" s="109"/>
      <c r="F423" s="109"/>
    </row>
    <row r="424">
      <c r="C424" s="108"/>
      <c r="D424" s="109"/>
      <c r="E424" s="109"/>
      <c r="F424" s="109"/>
    </row>
    <row r="425">
      <c r="C425" s="108"/>
      <c r="D425" s="109"/>
      <c r="E425" s="109"/>
      <c r="F425" s="109"/>
    </row>
    <row r="426">
      <c r="C426" s="108"/>
      <c r="D426" s="109"/>
      <c r="E426" s="109"/>
      <c r="F426" s="109"/>
    </row>
    <row r="427">
      <c r="C427" s="108"/>
      <c r="D427" s="109"/>
      <c r="E427" s="109"/>
      <c r="F427" s="109"/>
    </row>
    <row r="428">
      <c r="C428" s="108"/>
      <c r="D428" s="109"/>
      <c r="E428" s="109"/>
      <c r="F428" s="109"/>
    </row>
    <row r="429">
      <c r="C429" s="108"/>
      <c r="D429" s="109"/>
      <c r="E429" s="109"/>
      <c r="F429" s="109"/>
    </row>
    <row r="430">
      <c r="C430" s="108"/>
      <c r="D430" s="109"/>
      <c r="E430" s="109"/>
      <c r="F430" s="109"/>
    </row>
    <row r="431">
      <c r="C431" s="108"/>
      <c r="D431" s="109"/>
      <c r="E431" s="109"/>
      <c r="F431" s="109"/>
    </row>
    <row r="432">
      <c r="C432" s="108"/>
      <c r="D432" s="109"/>
      <c r="E432" s="109"/>
      <c r="F432" s="109"/>
    </row>
    <row r="433">
      <c r="C433" s="108"/>
      <c r="D433" s="109"/>
      <c r="E433" s="109"/>
      <c r="F433" s="109"/>
    </row>
    <row r="434">
      <c r="C434" s="108"/>
      <c r="D434" s="109"/>
      <c r="E434" s="109"/>
      <c r="F434" s="109"/>
    </row>
    <row r="435">
      <c r="C435" s="108"/>
      <c r="D435" s="109"/>
      <c r="E435" s="109"/>
      <c r="F435" s="109"/>
    </row>
    <row r="436">
      <c r="C436" s="108"/>
      <c r="D436" s="109"/>
      <c r="E436" s="109"/>
      <c r="F436" s="109"/>
    </row>
    <row r="437">
      <c r="C437" s="108"/>
      <c r="D437" s="109"/>
      <c r="E437" s="109"/>
      <c r="F437" s="109"/>
    </row>
    <row r="438">
      <c r="C438" s="108"/>
      <c r="D438" s="109"/>
      <c r="E438" s="109"/>
      <c r="F438" s="109"/>
    </row>
    <row r="439">
      <c r="C439" s="108"/>
      <c r="D439" s="109"/>
      <c r="E439" s="109"/>
      <c r="F439" s="109"/>
    </row>
    <row r="440">
      <c r="C440" s="108"/>
      <c r="D440" s="109"/>
      <c r="E440" s="109"/>
      <c r="F440" s="109"/>
    </row>
    <row r="441">
      <c r="C441" s="108"/>
      <c r="D441" s="109"/>
      <c r="E441" s="109"/>
      <c r="F441" s="109"/>
    </row>
    <row r="442">
      <c r="C442" s="108"/>
      <c r="D442" s="109"/>
      <c r="E442" s="109"/>
      <c r="F442" s="109"/>
    </row>
    <row r="443">
      <c r="C443" s="108"/>
      <c r="D443" s="109"/>
      <c r="E443" s="109"/>
      <c r="F443" s="109"/>
    </row>
    <row r="444">
      <c r="C444" s="108"/>
      <c r="D444" s="109"/>
      <c r="E444" s="109"/>
      <c r="F444" s="109"/>
    </row>
    <row r="445">
      <c r="C445" s="108"/>
      <c r="D445" s="109"/>
      <c r="E445" s="109"/>
      <c r="F445" s="109"/>
    </row>
    <row r="446">
      <c r="C446" s="108"/>
      <c r="D446" s="109"/>
      <c r="E446" s="109"/>
      <c r="F446" s="109"/>
    </row>
    <row r="447">
      <c r="C447" s="108"/>
      <c r="D447" s="109"/>
      <c r="E447" s="109"/>
      <c r="F447" s="109"/>
    </row>
    <row r="448">
      <c r="C448" s="108"/>
      <c r="D448" s="109"/>
      <c r="E448" s="109"/>
      <c r="F448" s="109"/>
    </row>
    <row r="449">
      <c r="C449" s="108"/>
      <c r="D449" s="109"/>
      <c r="E449" s="109"/>
      <c r="F449" s="109"/>
    </row>
    <row r="450">
      <c r="C450" s="108"/>
      <c r="D450" s="109"/>
      <c r="E450" s="109"/>
      <c r="F450" s="109"/>
    </row>
    <row r="451">
      <c r="C451" s="108"/>
      <c r="D451" s="109"/>
      <c r="E451" s="109"/>
      <c r="F451" s="109"/>
    </row>
    <row r="452">
      <c r="C452" s="108"/>
      <c r="D452" s="109"/>
      <c r="E452" s="109"/>
      <c r="F452" s="109"/>
    </row>
    <row r="453">
      <c r="C453" s="108"/>
      <c r="D453" s="109"/>
      <c r="E453" s="109"/>
      <c r="F453" s="109"/>
    </row>
    <row r="454">
      <c r="C454" s="108"/>
      <c r="D454" s="109"/>
      <c r="E454" s="109"/>
      <c r="F454" s="109"/>
    </row>
    <row r="455">
      <c r="C455" s="108"/>
      <c r="D455" s="109"/>
      <c r="E455" s="109"/>
      <c r="F455" s="109"/>
    </row>
    <row r="456">
      <c r="C456" s="108"/>
      <c r="D456" s="109"/>
      <c r="E456" s="109"/>
      <c r="F456" s="109"/>
    </row>
    <row r="457">
      <c r="C457" s="108"/>
      <c r="D457" s="109"/>
      <c r="E457" s="109"/>
      <c r="F457" s="109"/>
    </row>
    <row r="458">
      <c r="C458" s="108"/>
      <c r="D458" s="109"/>
      <c r="E458" s="109"/>
      <c r="F458" s="109"/>
    </row>
    <row r="459">
      <c r="C459" s="108"/>
      <c r="D459" s="109"/>
      <c r="E459" s="109"/>
      <c r="F459" s="109"/>
    </row>
    <row r="460">
      <c r="C460" s="108"/>
      <c r="D460" s="109"/>
      <c r="E460" s="109"/>
      <c r="F460" s="109"/>
    </row>
    <row r="461">
      <c r="C461" s="108"/>
      <c r="D461" s="109"/>
      <c r="E461" s="109"/>
      <c r="F461" s="109"/>
    </row>
    <row r="462">
      <c r="C462" s="108"/>
      <c r="D462" s="109"/>
      <c r="E462" s="109"/>
      <c r="F462" s="109"/>
    </row>
    <row r="463">
      <c r="C463" s="108"/>
      <c r="D463" s="109"/>
      <c r="E463" s="109"/>
      <c r="F463" s="109"/>
    </row>
    <row r="464">
      <c r="C464" s="108"/>
      <c r="D464" s="109"/>
      <c r="E464" s="109"/>
      <c r="F464" s="109"/>
    </row>
    <row r="465">
      <c r="C465" s="108"/>
      <c r="D465" s="109"/>
      <c r="E465" s="109"/>
      <c r="F465" s="109"/>
    </row>
    <row r="466">
      <c r="C466" s="108"/>
      <c r="D466" s="109"/>
      <c r="E466" s="109"/>
      <c r="F466" s="109"/>
    </row>
    <row r="467">
      <c r="C467" s="108"/>
      <c r="D467" s="109"/>
      <c r="E467" s="109"/>
      <c r="F467" s="109"/>
    </row>
    <row r="468">
      <c r="C468" s="108"/>
      <c r="D468" s="109"/>
      <c r="E468" s="109"/>
      <c r="F468" s="109"/>
    </row>
    <row r="469">
      <c r="C469" s="108"/>
      <c r="D469" s="109"/>
      <c r="E469" s="109"/>
      <c r="F469" s="109"/>
    </row>
    <row r="470">
      <c r="C470" s="108"/>
      <c r="D470" s="109"/>
      <c r="E470" s="109"/>
      <c r="F470" s="109"/>
    </row>
    <row r="471">
      <c r="C471" s="108"/>
      <c r="D471" s="109"/>
      <c r="E471" s="109"/>
      <c r="F471" s="109"/>
    </row>
    <row r="472">
      <c r="C472" s="108"/>
      <c r="D472" s="109"/>
      <c r="E472" s="109"/>
      <c r="F472" s="109"/>
    </row>
    <row r="473">
      <c r="C473" s="108"/>
      <c r="D473" s="109"/>
      <c r="E473" s="109"/>
      <c r="F473" s="109"/>
    </row>
    <row r="474">
      <c r="C474" s="108"/>
      <c r="D474" s="109"/>
      <c r="E474" s="109"/>
      <c r="F474" s="109"/>
    </row>
    <row r="475">
      <c r="C475" s="108"/>
      <c r="D475" s="109"/>
      <c r="E475" s="109"/>
      <c r="F475" s="109"/>
    </row>
    <row r="476">
      <c r="C476" s="108"/>
      <c r="D476" s="109"/>
      <c r="E476" s="109"/>
      <c r="F476" s="109"/>
    </row>
    <row r="477">
      <c r="C477" s="108"/>
      <c r="D477" s="109"/>
      <c r="E477" s="109"/>
      <c r="F477" s="109"/>
    </row>
    <row r="478">
      <c r="C478" s="108"/>
      <c r="D478" s="109"/>
      <c r="E478" s="109"/>
      <c r="F478" s="109"/>
    </row>
    <row r="479">
      <c r="C479" s="108"/>
      <c r="D479" s="109"/>
      <c r="E479" s="109"/>
      <c r="F479" s="109"/>
    </row>
    <row r="480">
      <c r="C480" s="108"/>
      <c r="D480" s="109"/>
      <c r="E480" s="109"/>
      <c r="F480" s="109"/>
    </row>
    <row r="481">
      <c r="C481" s="108"/>
      <c r="D481" s="109"/>
      <c r="E481" s="109"/>
      <c r="F481" s="109"/>
    </row>
    <row r="482">
      <c r="C482" s="108"/>
      <c r="D482" s="109"/>
      <c r="E482" s="109"/>
      <c r="F482" s="109"/>
    </row>
    <row r="483">
      <c r="C483" s="108"/>
      <c r="D483" s="109"/>
      <c r="E483" s="109"/>
      <c r="F483" s="109"/>
    </row>
    <row r="484">
      <c r="C484" s="108"/>
      <c r="D484" s="109"/>
      <c r="E484" s="109"/>
      <c r="F484" s="109"/>
    </row>
    <row r="485">
      <c r="C485" s="108"/>
      <c r="D485" s="109"/>
      <c r="E485" s="109"/>
      <c r="F485" s="109"/>
    </row>
    <row r="486">
      <c r="C486" s="108"/>
      <c r="D486" s="109"/>
      <c r="E486" s="109"/>
      <c r="F486" s="109"/>
    </row>
    <row r="487">
      <c r="C487" s="108"/>
      <c r="D487" s="109"/>
      <c r="E487" s="109"/>
      <c r="F487" s="109"/>
    </row>
    <row r="488">
      <c r="C488" s="108"/>
      <c r="D488" s="109"/>
      <c r="E488" s="109"/>
      <c r="F488" s="109"/>
    </row>
    <row r="489">
      <c r="C489" s="108"/>
      <c r="D489" s="109"/>
      <c r="E489" s="109"/>
      <c r="F489" s="109"/>
    </row>
    <row r="490">
      <c r="C490" s="108"/>
      <c r="D490" s="109"/>
      <c r="E490" s="109"/>
      <c r="F490" s="109"/>
    </row>
    <row r="491">
      <c r="C491" s="108"/>
      <c r="D491" s="109"/>
      <c r="E491" s="109"/>
      <c r="F491" s="109"/>
    </row>
    <row r="492">
      <c r="C492" s="108"/>
      <c r="D492" s="109"/>
      <c r="E492" s="109"/>
      <c r="F492" s="109"/>
    </row>
    <row r="493">
      <c r="C493" s="108"/>
      <c r="D493" s="109"/>
      <c r="E493" s="109"/>
      <c r="F493" s="109"/>
    </row>
    <row r="494">
      <c r="C494" s="108"/>
      <c r="D494" s="109"/>
      <c r="E494" s="109"/>
      <c r="F494" s="109"/>
    </row>
    <row r="495">
      <c r="C495" s="108"/>
      <c r="D495" s="109"/>
      <c r="E495" s="109"/>
      <c r="F495" s="109"/>
    </row>
    <row r="496">
      <c r="C496" s="108"/>
      <c r="D496" s="109"/>
      <c r="E496" s="109"/>
      <c r="F496" s="109"/>
    </row>
    <row r="497">
      <c r="C497" s="108"/>
      <c r="D497" s="109"/>
      <c r="E497" s="109"/>
      <c r="F497" s="109"/>
    </row>
    <row r="498">
      <c r="C498" s="108"/>
      <c r="D498" s="109"/>
      <c r="E498" s="109"/>
      <c r="F498" s="109"/>
    </row>
    <row r="499">
      <c r="C499" s="108"/>
      <c r="D499" s="109"/>
      <c r="E499" s="109"/>
      <c r="F499" s="109"/>
    </row>
    <row r="500">
      <c r="C500" s="108"/>
      <c r="D500" s="109"/>
      <c r="E500" s="109"/>
      <c r="F500" s="109"/>
    </row>
    <row r="501">
      <c r="C501" s="108"/>
      <c r="D501" s="109"/>
      <c r="E501" s="109"/>
      <c r="F501" s="109"/>
    </row>
    <row r="502">
      <c r="C502" s="108"/>
      <c r="D502" s="109"/>
      <c r="E502" s="109"/>
      <c r="F502" s="109"/>
    </row>
    <row r="503">
      <c r="C503" s="108"/>
      <c r="D503" s="109"/>
      <c r="E503" s="109"/>
      <c r="F503" s="109"/>
    </row>
    <row r="504">
      <c r="C504" s="108"/>
      <c r="D504" s="109"/>
      <c r="E504" s="109"/>
      <c r="F504" s="109"/>
    </row>
    <row r="505">
      <c r="C505" s="108"/>
      <c r="D505" s="109"/>
      <c r="E505" s="109"/>
      <c r="F505" s="109"/>
    </row>
    <row r="506">
      <c r="C506" s="108"/>
      <c r="D506" s="109"/>
      <c r="E506" s="109"/>
      <c r="F506" s="109"/>
    </row>
    <row r="507">
      <c r="C507" s="108"/>
      <c r="D507" s="109"/>
      <c r="E507" s="109"/>
      <c r="F507" s="109"/>
    </row>
    <row r="508">
      <c r="C508" s="108"/>
      <c r="D508" s="109"/>
      <c r="E508" s="109"/>
      <c r="F508" s="109"/>
    </row>
    <row r="509">
      <c r="C509" s="108"/>
      <c r="D509" s="109"/>
      <c r="E509" s="109"/>
      <c r="F509" s="109"/>
    </row>
    <row r="510">
      <c r="C510" s="108"/>
      <c r="D510" s="109"/>
      <c r="E510" s="109"/>
      <c r="F510" s="109"/>
    </row>
    <row r="511">
      <c r="C511" s="108"/>
      <c r="D511" s="109"/>
      <c r="E511" s="109"/>
      <c r="F511" s="109"/>
    </row>
    <row r="512">
      <c r="C512" s="108"/>
      <c r="D512" s="109"/>
      <c r="E512" s="109"/>
      <c r="F512" s="109"/>
    </row>
    <row r="513">
      <c r="C513" s="108"/>
      <c r="D513" s="109"/>
      <c r="E513" s="109"/>
      <c r="F513" s="109"/>
    </row>
    <row r="514">
      <c r="C514" s="108"/>
      <c r="D514" s="109"/>
      <c r="E514" s="109"/>
      <c r="F514" s="109"/>
    </row>
    <row r="515">
      <c r="C515" s="108"/>
      <c r="D515" s="109"/>
      <c r="E515" s="109"/>
      <c r="F515" s="109"/>
    </row>
    <row r="516">
      <c r="C516" s="108"/>
      <c r="D516" s="109"/>
      <c r="E516" s="109"/>
      <c r="F516" s="109"/>
    </row>
    <row r="517">
      <c r="C517" s="108"/>
      <c r="D517" s="109"/>
      <c r="E517" s="109"/>
      <c r="F517" s="109"/>
    </row>
    <row r="518">
      <c r="C518" s="108"/>
      <c r="D518" s="109"/>
      <c r="E518" s="109"/>
      <c r="F518" s="109"/>
    </row>
    <row r="519">
      <c r="C519" s="108"/>
      <c r="D519" s="109"/>
      <c r="E519" s="109"/>
      <c r="F519" s="109"/>
    </row>
    <row r="520">
      <c r="C520" s="108"/>
      <c r="D520" s="109"/>
      <c r="E520" s="109"/>
      <c r="F520" s="109"/>
    </row>
    <row r="521">
      <c r="C521" s="108"/>
      <c r="D521" s="109"/>
      <c r="E521" s="109"/>
      <c r="F521" s="109"/>
    </row>
    <row r="522">
      <c r="C522" s="108"/>
      <c r="D522" s="109"/>
      <c r="E522" s="109"/>
      <c r="F522" s="109"/>
    </row>
    <row r="523">
      <c r="C523" s="108"/>
      <c r="D523" s="109"/>
      <c r="E523" s="109"/>
      <c r="F523" s="109"/>
    </row>
    <row r="524">
      <c r="C524" s="108"/>
      <c r="D524" s="109"/>
      <c r="E524" s="109"/>
      <c r="F524" s="109"/>
    </row>
    <row r="525">
      <c r="C525" s="108"/>
      <c r="D525" s="109"/>
      <c r="E525" s="109"/>
      <c r="F525" s="109"/>
    </row>
    <row r="526">
      <c r="C526" s="108"/>
      <c r="D526" s="109"/>
      <c r="E526" s="109"/>
      <c r="F526" s="109"/>
    </row>
    <row r="527">
      <c r="C527" s="108"/>
      <c r="D527" s="109"/>
      <c r="E527" s="109"/>
      <c r="F527" s="109"/>
    </row>
    <row r="528">
      <c r="C528" s="108"/>
      <c r="D528" s="109"/>
      <c r="E528" s="109"/>
      <c r="F528" s="109"/>
    </row>
    <row r="529">
      <c r="C529" s="108"/>
      <c r="D529" s="109"/>
      <c r="E529" s="109"/>
      <c r="F529" s="109"/>
    </row>
    <row r="530">
      <c r="C530" s="108"/>
      <c r="D530" s="109"/>
      <c r="E530" s="109"/>
      <c r="F530" s="109"/>
    </row>
    <row r="531">
      <c r="C531" s="108"/>
      <c r="D531" s="109"/>
      <c r="E531" s="109"/>
      <c r="F531" s="109"/>
    </row>
    <row r="532">
      <c r="C532" s="108"/>
      <c r="D532" s="109"/>
      <c r="E532" s="109"/>
      <c r="F532" s="109"/>
    </row>
    <row r="533">
      <c r="C533" s="108"/>
      <c r="D533" s="109"/>
      <c r="E533" s="109"/>
      <c r="F533" s="109"/>
    </row>
    <row r="534">
      <c r="C534" s="108"/>
      <c r="D534" s="109"/>
      <c r="E534" s="109"/>
      <c r="F534" s="109"/>
    </row>
    <row r="535">
      <c r="C535" s="108"/>
      <c r="D535" s="109"/>
      <c r="E535" s="109"/>
      <c r="F535" s="109"/>
    </row>
    <row r="536">
      <c r="C536" s="108"/>
      <c r="D536" s="109"/>
      <c r="E536" s="109"/>
      <c r="F536" s="109"/>
    </row>
    <row r="537">
      <c r="C537" s="108"/>
      <c r="D537" s="109"/>
      <c r="E537" s="109"/>
      <c r="F537" s="109"/>
    </row>
    <row r="538">
      <c r="C538" s="108"/>
      <c r="D538" s="109"/>
      <c r="E538" s="109"/>
      <c r="F538" s="109"/>
    </row>
    <row r="539">
      <c r="C539" s="108"/>
      <c r="D539" s="109"/>
      <c r="E539" s="109"/>
      <c r="F539" s="109"/>
    </row>
    <row r="540">
      <c r="C540" s="108"/>
      <c r="D540" s="109"/>
      <c r="E540" s="109"/>
      <c r="F540" s="109"/>
    </row>
    <row r="541">
      <c r="C541" s="108"/>
      <c r="D541" s="109"/>
      <c r="E541" s="109"/>
      <c r="F541" s="109"/>
    </row>
    <row r="542">
      <c r="C542" s="108"/>
      <c r="D542" s="109"/>
      <c r="E542" s="109"/>
      <c r="F542" s="109"/>
    </row>
    <row r="543">
      <c r="C543" s="108"/>
      <c r="D543" s="109"/>
      <c r="E543" s="109"/>
      <c r="F543" s="109"/>
    </row>
    <row r="544">
      <c r="C544" s="108"/>
      <c r="D544" s="109"/>
      <c r="E544" s="109"/>
      <c r="F544" s="109"/>
    </row>
    <row r="545">
      <c r="C545" s="108"/>
      <c r="D545" s="109"/>
      <c r="E545" s="109"/>
      <c r="F545" s="109"/>
    </row>
    <row r="546">
      <c r="C546" s="108"/>
      <c r="D546" s="109"/>
      <c r="E546" s="109"/>
      <c r="F546" s="109"/>
    </row>
    <row r="547">
      <c r="C547" s="108"/>
      <c r="D547" s="109"/>
      <c r="E547" s="109"/>
      <c r="F547" s="109"/>
    </row>
    <row r="548">
      <c r="C548" s="108"/>
      <c r="D548" s="109"/>
      <c r="E548" s="109"/>
      <c r="F548" s="109"/>
    </row>
    <row r="549">
      <c r="C549" s="108"/>
      <c r="D549" s="109"/>
      <c r="E549" s="109"/>
      <c r="F549" s="109"/>
    </row>
    <row r="550">
      <c r="C550" s="108"/>
      <c r="D550" s="109"/>
      <c r="E550" s="109"/>
      <c r="F550" s="109"/>
    </row>
    <row r="551">
      <c r="C551" s="108"/>
      <c r="D551" s="109"/>
      <c r="E551" s="109"/>
      <c r="F551" s="109"/>
    </row>
    <row r="552">
      <c r="C552" s="108"/>
      <c r="D552" s="109"/>
      <c r="E552" s="109"/>
      <c r="F552" s="109"/>
    </row>
    <row r="553">
      <c r="C553" s="108"/>
      <c r="D553" s="109"/>
      <c r="E553" s="109"/>
      <c r="F553" s="109"/>
    </row>
    <row r="554">
      <c r="C554" s="108"/>
      <c r="D554" s="109"/>
      <c r="E554" s="109"/>
      <c r="F554" s="109"/>
    </row>
    <row r="555">
      <c r="C555" s="108"/>
      <c r="D555" s="109"/>
      <c r="E555" s="109"/>
      <c r="F555" s="109"/>
    </row>
    <row r="556">
      <c r="C556" s="108"/>
      <c r="D556" s="109"/>
      <c r="E556" s="109"/>
      <c r="F556" s="109"/>
    </row>
    <row r="557">
      <c r="C557" s="108"/>
      <c r="D557" s="109"/>
      <c r="E557" s="109"/>
      <c r="F557" s="109"/>
    </row>
    <row r="558">
      <c r="C558" s="108"/>
      <c r="D558" s="109"/>
      <c r="E558" s="109"/>
      <c r="F558" s="109"/>
    </row>
    <row r="559">
      <c r="C559" s="108"/>
      <c r="D559" s="109"/>
      <c r="E559" s="109"/>
      <c r="F559" s="109"/>
    </row>
    <row r="560">
      <c r="C560" s="108"/>
      <c r="D560" s="109"/>
      <c r="E560" s="109"/>
      <c r="F560" s="109"/>
    </row>
    <row r="561">
      <c r="C561" s="108"/>
      <c r="D561" s="109"/>
      <c r="E561" s="109"/>
      <c r="F561" s="109"/>
    </row>
    <row r="562">
      <c r="C562" s="108"/>
      <c r="D562" s="109"/>
      <c r="E562" s="109"/>
      <c r="F562" s="109"/>
    </row>
    <row r="563">
      <c r="C563" s="108"/>
      <c r="D563" s="109"/>
      <c r="E563" s="109"/>
      <c r="F563" s="109"/>
    </row>
    <row r="564">
      <c r="C564" s="108"/>
      <c r="D564" s="109"/>
      <c r="E564" s="109"/>
      <c r="F564" s="109"/>
    </row>
    <row r="565">
      <c r="C565" s="108"/>
      <c r="D565" s="109"/>
      <c r="E565" s="109"/>
      <c r="F565" s="109"/>
    </row>
    <row r="566">
      <c r="C566" s="108"/>
      <c r="D566" s="109"/>
      <c r="E566" s="109"/>
      <c r="F566" s="109"/>
    </row>
    <row r="567">
      <c r="C567" s="108"/>
      <c r="D567" s="109"/>
      <c r="E567" s="109"/>
      <c r="F567" s="109"/>
    </row>
    <row r="568">
      <c r="C568" s="108"/>
      <c r="D568" s="109"/>
      <c r="E568" s="109"/>
      <c r="F568" s="109"/>
    </row>
    <row r="569">
      <c r="C569" s="108"/>
      <c r="D569" s="109"/>
      <c r="E569" s="109"/>
      <c r="F569" s="109"/>
    </row>
    <row r="570">
      <c r="C570" s="108"/>
      <c r="D570" s="109"/>
      <c r="E570" s="109"/>
      <c r="F570" s="109"/>
    </row>
    <row r="571">
      <c r="C571" s="108"/>
      <c r="D571" s="109"/>
      <c r="E571" s="109"/>
      <c r="F571" s="109"/>
    </row>
    <row r="572">
      <c r="C572" s="108"/>
      <c r="D572" s="109"/>
      <c r="E572" s="109"/>
      <c r="F572" s="109"/>
    </row>
    <row r="573">
      <c r="C573" s="108"/>
      <c r="D573" s="109"/>
      <c r="E573" s="109"/>
      <c r="F573" s="109"/>
    </row>
    <row r="574">
      <c r="C574" s="108"/>
      <c r="D574" s="109"/>
      <c r="E574" s="109"/>
      <c r="F574" s="109"/>
    </row>
    <row r="575">
      <c r="C575" s="108"/>
      <c r="D575" s="109"/>
      <c r="E575" s="109"/>
      <c r="F575" s="109"/>
    </row>
    <row r="576">
      <c r="C576" s="108"/>
      <c r="D576" s="109"/>
      <c r="E576" s="109"/>
      <c r="F576" s="109"/>
    </row>
    <row r="577">
      <c r="C577" s="108"/>
      <c r="D577" s="109"/>
      <c r="E577" s="109"/>
      <c r="F577" s="109"/>
    </row>
    <row r="578">
      <c r="C578" s="108"/>
      <c r="D578" s="109"/>
      <c r="E578" s="109"/>
      <c r="F578" s="109"/>
    </row>
    <row r="579">
      <c r="C579" s="108"/>
      <c r="D579" s="109"/>
      <c r="E579" s="109"/>
      <c r="F579" s="109"/>
    </row>
    <row r="580">
      <c r="C580" s="108"/>
      <c r="D580" s="109"/>
      <c r="E580" s="109"/>
      <c r="F580" s="109"/>
    </row>
    <row r="581">
      <c r="C581" s="108"/>
      <c r="D581" s="109"/>
      <c r="E581" s="109"/>
      <c r="F581" s="109"/>
    </row>
    <row r="582">
      <c r="C582" s="108"/>
      <c r="D582" s="109"/>
      <c r="E582" s="109"/>
      <c r="F582" s="109"/>
    </row>
    <row r="583">
      <c r="C583" s="108"/>
      <c r="D583" s="109"/>
      <c r="E583" s="109"/>
      <c r="F583" s="109"/>
    </row>
    <row r="584">
      <c r="C584" s="108"/>
      <c r="D584" s="109"/>
      <c r="E584" s="109"/>
      <c r="F584" s="109"/>
    </row>
    <row r="585">
      <c r="C585" s="108"/>
      <c r="D585" s="109"/>
      <c r="E585" s="109"/>
      <c r="F585" s="109"/>
    </row>
    <row r="586">
      <c r="C586" s="108"/>
      <c r="D586" s="109"/>
      <c r="E586" s="109"/>
      <c r="F586" s="109"/>
    </row>
    <row r="587">
      <c r="C587" s="108"/>
      <c r="D587" s="109"/>
      <c r="E587" s="109"/>
      <c r="F587" s="109"/>
    </row>
    <row r="588">
      <c r="C588" s="108"/>
      <c r="D588" s="109"/>
      <c r="E588" s="109"/>
      <c r="F588" s="109"/>
    </row>
    <row r="589">
      <c r="C589" s="108"/>
      <c r="D589" s="109"/>
      <c r="E589" s="109"/>
      <c r="F589" s="109"/>
    </row>
    <row r="590">
      <c r="C590" s="108"/>
      <c r="D590" s="109"/>
      <c r="E590" s="109"/>
      <c r="F590" s="109"/>
    </row>
    <row r="591">
      <c r="C591" s="108"/>
      <c r="D591" s="109"/>
      <c r="E591" s="109"/>
      <c r="F591" s="109"/>
    </row>
    <row r="592">
      <c r="C592" s="108"/>
      <c r="D592" s="109"/>
      <c r="E592" s="109"/>
      <c r="F592" s="109"/>
    </row>
    <row r="593">
      <c r="C593" s="108"/>
      <c r="D593" s="109"/>
      <c r="E593" s="109"/>
      <c r="F593" s="109"/>
    </row>
    <row r="594">
      <c r="C594" s="108"/>
      <c r="D594" s="109"/>
      <c r="E594" s="109"/>
      <c r="F594" s="109"/>
    </row>
    <row r="595">
      <c r="C595" s="108"/>
      <c r="D595" s="109"/>
      <c r="E595" s="109"/>
      <c r="F595" s="109"/>
    </row>
    <row r="596">
      <c r="C596" s="108"/>
      <c r="D596" s="109"/>
      <c r="E596" s="109"/>
      <c r="F596" s="109"/>
    </row>
    <row r="597">
      <c r="C597" s="108"/>
      <c r="D597" s="109"/>
      <c r="E597" s="109"/>
      <c r="F597" s="109"/>
    </row>
    <row r="598">
      <c r="C598" s="108"/>
      <c r="D598" s="109"/>
      <c r="E598" s="109"/>
      <c r="F598" s="109"/>
    </row>
    <row r="599">
      <c r="C599" s="108"/>
      <c r="D599" s="109"/>
      <c r="E599" s="109"/>
      <c r="F599" s="109"/>
    </row>
    <row r="600">
      <c r="C600" s="108"/>
      <c r="D600" s="109"/>
      <c r="E600" s="109"/>
      <c r="F600" s="109"/>
    </row>
    <row r="601">
      <c r="C601" s="108"/>
      <c r="D601" s="109"/>
      <c r="E601" s="109"/>
      <c r="F601" s="109"/>
    </row>
    <row r="602">
      <c r="C602" s="108"/>
      <c r="D602" s="109"/>
      <c r="E602" s="109"/>
      <c r="F602" s="109"/>
    </row>
    <row r="603">
      <c r="C603" s="108"/>
      <c r="D603" s="109"/>
      <c r="E603" s="109"/>
      <c r="F603" s="109"/>
    </row>
    <row r="604">
      <c r="C604" s="108"/>
      <c r="D604" s="109"/>
      <c r="E604" s="109"/>
      <c r="F604" s="109"/>
    </row>
    <row r="605">
      <c r="C605" s="108"/>
      <c r="D605" s="109"/>
      <c r="E605" s="109"/>
      <c r="F605" s="109"/>
    </row>
    <row r="606">
      <c r="C606" s="108"/>
      <c r="D606" s="109"/>
      <c r="E606" s="109"/>
      <c r="F606" s="109"/>
    </row>
    <row r="607">
      <c r="C607" s="108"/>
      <c r="D607" s="109"/>
      <c r="E607" s="109"/>
      <c r="F607" s="109"/>
    </row>
    <row r="608">
      <c r="C608" s="108"/>
      <c r="D608" s="109"/>
      <c r="E608" s="109"/>
      <c r="F608" s="109"/>
    </row>
    <row r="609">
      <c r="C609" s="108"/>
      <c r="D609" s="109"/>
      <c r="E609" s="109"/>
      <c r="F609" s="109"/>
    </row>
    <row r="610">
      <c r="C610" s="108"/>
      <c r="D610" s="109"/>
      <c r="E610" s="109"/>
      <c r="F610" s="109"/>
    </row>
    <row r="611">
      <c r="C611" s="108"/>
      <c r="D611" s="109"/>
      <c r="E611" s="109"/>
      <c r="F611" s="109"/>
    </row>
    <row r="612">
      <c r="C612" s="108"/>
      <c r="D612" s="109"/>
      <c r="E612" s="109"/>
      <c r="F612" s="109"/>
    </row>
    <row r="613">
      <c r="C613" s="108"/>
      <c r="D613" s="109"/>
      <c r="E613" s="109"/>
      <c r="F613" s="109"/>
    </row>
    <row r="614">
      <c r="C614" s="108"/>
      <c r="D614" s="109"/>
      <c r="E614" s="109"/>
      <c r="F614" s="109"/>
    </row>
    <row r="615">
      <c r="C615" s="108"/>
      <c r="D615" s="109"/>
      <c r="E615" s="109"/>
      <c r="F615" s="109"/>
    </row>
    <row r="616">
      <c r="C616" s="108"/>
      <c r="D616" s="109"/>
      <c r="E616" s="109"/>
      <c r="F616" s="109"/>
    </row>
    <row r="617">
      <c r="C617" s="108"/>
      <c r="D617" s="109"/>
      <c r="E617" s="109"/>
      <c r="F617" s="109"/>
    </row>
    <row r="618">
      <c r="C618" s="108"/>
      <c r="D618" s="109"/>
      <c r="E618" s="109"/>
      <c r="F618" s="109"/>
    </row>
    <row r="619">
      <c r="C619" s="108"/>
      <c r="D619" s="109"/>
      <c r="E619" s="109"/>
      <c r="F619" s="109"/>
    </row>
    <row r="620">
      <c r="C620" s="108"/>
      <c r="D620" s="109"/>
      <c r="E620" s="109"/>
      <c r="F620" s="109"/>
    </row>
    <row r="621">
      <c r="C621" s="108"/>
      <c r="D621" s="109"/>
      <c r="E621" s="109"/>
      <c r="F621" s="109"/>
    </row>
    <row r="622">
      <c r="C622" s="108"/>
      <c r="D622" s="109"/>
      <c r="E622" s="109"/>
      <c r="F622" s="109"/>
    </row>
    <row r="623">
      <c r="C623" s="108"/>
      <c r="D623" s="109"/>
      <c r="E623" s="109"/>
      <c r="F623" s="109"/>
    </row>
    <row r="624">
      <c r="C624" s="108"/>
      <c r="D624" s="109"/>
      <c r="E624" s="109"/>
      <c r="F624" s="109"/>
    </row>
    <row r="625">
      <c r="C625" s="108"/>
      <c r="D625" s="109"/>
      <c r="E625" s="109"/>
      <c r="F625" s="109"/>
    </row>
    <row r="626">
      <c r="C626" s="108"/>
      <c r="D626" s="109"/>
      <c r="E626" s="109"/>
      <c r="F626" s="109"/>
    </row>
    <row r="627">
      <c r="C627" s="108"/>
      <c r="D627" s="109"/>
      <c r="E627" s="109"/>
      <c r="F627" s="109"/>
    </row>
    <row r="628">
      <c r="C628" s="108"/>
      <c r="D628" s="109"/>
      <c r="E628" s="109"/>
      <c r="F628" s="109"/>
    </row>
    <row r="629">
      <c r="C629" s="108"/>
      <c r="D629" s="109"/>
      <c r="E629" s="109"/>
      <c r="F629" s="109"/>
    </row>
    <row r="630">
      <c r="C630" s="108"/>
      <c r="D630" s="109"/>
      <c r="E630" s="109"/>
      <c r="F630" s="109"/>
    </row>
    <row r="631">
      <c r="C631" s="108"/>
      <c r="D631" s="109"/>
      <c r="E631" s="109"/>
      <c r="F631" s="109"/>
    </row>
    <row r="632">
      <c r="C632" s="108"/>
      <c r="D632" s="109"/>
      <c r="E632" s="109"/>
      <c r="F632" s="109"/>
    </row>
    <row r="633">
      <c r="C633" s="108"/>
      <c r="D633" s="109"/>
      <c r="E633" s="109"/>
      <c r="F633" s="109"/>
    </row>
    <row r="634">
      <c r="C634" s="108"/>
      <c r="D634" s="109"/>
      <c r="E634" s="109"/>
      <c r="F634" s="109"/>
    </row>
    <row r="635">
      <c r="C635" s="108"/>
      <c r="D635" s="109"/>
      <c r="E635" s="109"/>
      <c r="F635" s="109"/>
    </row>
    <row r="636">
      <c r="C636" s="108"/>
      <c r="D636" s="109"/>
      <c r="E636" s="109"/>
      <c r="F636" s="109"/>
    </row>
    <row r="637">
      <c r="C637" s="108"/>
      <c r="D637" s="109"/>
      <c r="E637" s="109"/>
      <c r="F637" s="109"/>
    </row>
    <row r="638">
      <c r="C638" s="108"/>
      <c r="D638" s="109"/>
      <c r="E638" s="109"/>
      <c r="F638" s="109"/>
    </row>
    <row r="639">
      <c r="C639" s="108"/>
      <c r="D639" s="109"/>
      <c r="E639" s="109"/>
      <c r="F639" s="109"/>
    </row>
    <row r="640">
      <c r="C640" s="108"/>
      <c r="D640" s="109"/>
      <c r="E640" s="109"/>
      <c r="F640" s="109"/>
    </row>
    <row r="641">
      <c r="C641" s="108"/>
      <c r="D641" s="109"/>
      <c r="E641" s="109"/>
      <c r="F641" s="109"/>
    </row>
    <row r="642">
      <c r="C642" s="108"/>
      <c r="D642" s="109"/>
      <c r="E642" s="109"/>
      <c r="F642" s="109"/>
    </row>
    <row r="643">
      <c r="C643" s="108"/>
      <c r="D643" s="109"/>
      <c r="E643" s="109"/>
      <c r="F643" s="109"/>
    </row>
    <row r="644">
      <c r="C644" s="108"/>
      <c r="D644" s="109"/>
      <c r="E644" s="109"/>
      <c r="F644" s="109"/>
    </row>
    <row r="645">
      <c r="C645" s="108"/>
      <c r="D645" s="109"/>
      <c r="E645" s="109"/>
      <c r="F645" s="109"/>
    </row>
    <row r="646">
      <c r="C646" s="108"/>
      <c r="D646" s="109"/>
      <c r="E646" s="109"/>
      <c r="F646" s="109"/>
    </row>
    <row r="647">
      <c r="C647" s="108"/>
      <c r="D647" s="109"/>
      <c r="E647" s="109"/>
      <c r="F647" s="109"/>
    </row>
    <row r="648">
      <c r="C648" s="108"/>
      <c r="D648" s="109"/>
      <c r="E648" s="109"/>
      <c r="F648" s="109"/>
    </row>
    <row r="649">
      <c r="C649" s="108"/>
      <c r="D649" s="109"/>
      <c r="E649" s="109"/>
      <c r="F649" s="109"/>
    </row>
    <row r="650">
      <c r="C650" s="108"/>
      <c r="D650" s="109"/>
      <c r="E650" s="109"/>
      <c r="F650" s="109"/>
    </row>
    <row r="651">
      <c r="C651" s="108"/>
      <c r="D651" s="109"/>
      <c r="E651" s="109"/>
      <c r="F651" s="109"/>
    </row>
    <row r="652">
      <c r="C652" s="108"/>
      <c r="D652" s="109"/>
      <c r="E652" s="109"/>
      <c r="F652" s="109"/>
    </row>
    <row r="653">
      <c r="C653" s="108"/>
      <c r="D653" s="109"/>
      <c r="E653" s="109"/>
      <c r="F653" s="109"/>
    </row>
    <row r="654">
      <c r="C654" s="108"/>
      <c r="D654" s="109"/>
      <c r="E654" s="109"/>
      <c r="F654" s="109"/>
    </row>
    <row r="655">
      <c r="C655" s="108"/>
      <c r="D655" s="109"/>
      <c r="E655" s="109"/>
      <c r="F655" s="109"/>
    </row>
    <row r="656">
      <c r="C656" s="108"/>
      <c r="D656" s="109"/>
      <c r="E656" s="109"/>
      <c r="F656" s="109"/>
    </row>
    <row r="657">
      <c r="C657" s="108"/>
      <c r="D657" s="109"/>
      <c r="E657" s="109"/>
      <c r="F657" s="109"/>
    </row>
    <row r="658">
      <c r="C658" s="108"/>
      <c r="D658" s="109"/>
      <c r="E658" s="109"/>
      <c r="F658" s="109"/>
    </row>
    <row r="659">
      <c r="C659" s="108"/>
      <c r="D659" s="109"/>
      <c r="E659" s="109"/>
      <c r="F659" s="109"/>
    </row>
    <row r="660">
      <c r="C660" s="108"/>
      <c r="D660" s="109"/>
      <c r="E660" s="109"/>
      <c r="F660" s="109"/>
    </row>
    <row r="661">
      <c r="C661" s="108"/>
      <c r="D661" s="109"/>
      <c r="E661" s="109"/>
      <c r="F661" s="109"/>
    </row>
    <row r="662">
      <c r="C662" s="108"/>
      <c r="D662" s="109"/>
      <c r="E662" s="109"/>
      <c r="F662" s="109"/>
    </row>
    <row r="663">
      <c r="C663" s="108"/>
      <c r="D663" s="109"/>
      <c r="E663" s="109"/>
      <c r="F663" s="109"/>
    </row>
    <row r="664">
      <c r="C664" s="108"/>
      <c r="D664" s="109"/>
      <c r="E664" s="109"/>
      <c r="F664" s="109"/>
    </row>
    <row r="665">
      <c r="C665" s="108"/>
      <c r="D665" s="109"/>
      <c r="E665" s="109"/>
      <c r="F665" s="109"/>
    </row>
    <row r="666">
      <c r="C666" s="108"/>
      <c r="D666" s="109"/>
      <c r="E666" s="109"/>
      <c r="F666" s="109"/>
    </row>
    <row r="667">
      <c r="C667" s="108"/>
      <c r="D667" s="109"/>
      <c r="E667" s="109"/>
      <c r="F667" s="109"/>
    </row>
    <row r="668">
      <c r="C668" s="108"/>
      <c r="D668" s="109"/>
      <c r="E668" s="109"/>
      <c r="F668" s="109"/>
    </row>
    <row r="669">
      <c r="C669" s="108"/>
      <c r="D669" s="109"/>
      <c r="E669" s="109"/>
      <c r="F669" s="109"/>
    </row>
    <row r="670">
      <c r="C670" s="108"/>
      <c r="D670" s="109"/>
      <c r="E670" s="109"/>
      <c r="F670" s="109"/>
    </row>
    <row r="671">
      <c r="C671" s="108"/>
      <c r="D671" s="109"/>
      <c r="E671" s="109"/>
      <c r="F671" s="109"/>
    </row>
    <row r="672">
      <c r="C672" s="108"/>
      <c r="D672" s="109"/>
      <c r="E672" s="109"/>
      <c r="F672" s="109"/>
    </row>
    <row r="673">
      <c r="C673" s="108"/>
      <c r="D673" s="109"/>
      <c r="E673" s="109"/>
      <c r="F673" s="109"/>
    </row>
    <row r="674">
      <c r="C674" s="108"/>
      <c r="D674" s="109"/>
      <c r="E674" s="109"/>
      <c r="F674" s="109"/>
    </row>
    <row r="675">
      <c r="C675" s="108"/>
      <c r="D675" s="109"/>
      <c r="E675" s="109"/>
      <c r="F675" s="109"/>
    </row>
    <row r="676">
      <c r="C676" s="108"/>
      <c r="D676" s="109"/>
      <c r="E676" s="109"/>
      <c r="F676" s="109"/>
    </row>
    <row r="677">
      <c r="C677" s="108"/>
      <c r="D677" s="109"/>
      <c r="E677" s="109"/>
      <c r="F677" s="109"/>
    </row>
    <row r="678">
      <c r="C678" s="108"/>
      <c r="D678" s="109"/>
      <c r="E678" s="109"/>
      <c r="F678" s="109"/>
    </row>
    <row r="679">
      <c r="C679" s="108"/>
      <c r="D679" s="109"/>
      <c r="E679" s="109"/>
      <c r="F679" s="109"/>
    </row>
    <row r="680">
      <c r="C680" s="108"/>
      <c r="D680" s="109"/>
      <c r="E680" s="109"/>
      <c r="F680" s="109"/>
    </row>
    <row r="681">
      <c r="C681" s="108"/>
      <c r="D681" s="109"/>
      <c r="E681" s="109"/>
      <c r="F681" s="109"/>
    </row>
    <row r="682">
      <c r="C682" s="108"/>
      <c r="D682" s="109"/>
      <c r="E682" s="109"/>
      <c r="F682" s="109"/>
    </row>
    <row r="683">
      <c r="C683" s="108"/>
      <c r="D683" s="109"/>
      <c r="E683" s="109"/>
      <c r="F683" s="109"/>
    </row>
    <row r="684">
      <c r="C684" s="108"/>
      <c r="D684" s="109"/>
      <c r="E684" s="109"/>
      <c r="F684" s="109"/>
    </row>
    <row r="685">
      <c r="C685" s="108"/>
      <c r="D685" s="109"/>
      <c r="E685" s="109"/>
      <c r="F685" s="109"/>
    </row>
    <row r="686">
      <c r="C686" s="108"/>
      <c r="D686" s="109"/>
      <c r="E686" s="109"/>
      <c r="F686" s="109"/>
    </row>
    <row r="687">
      <c r="C687" s="108"/>
      <c r="D687" s="109"/>
      <c r="E687" s="109"/>
      <c r="F687" s="109"/>
    </row>
    <row r="688">
      <c r="C688" s="108"/>
      <c r="D688" s="109"/>
      <c r="E688" s="109"/>
      <c r="F688" s="109"/>
    </row>
    <row r="689">
      <c r="C689" s="108"/>
      <c r="D689" s="109"/>
      <c r="E689" s="109"/>
      <c r="F689" s="109"/>
    </row>
    <row r="690">
      <c r="C690" s="108"/>
      <c r="D690" s="109"/>
      <c r="E690" s="109"/>
      <c r="F690" s="109"/>
    </row>
    <row r="691">
      <c r="C691" s="108"/>
      <c r="D691" s="109"/>
      <c r="E691" s="109"/>
      <c r="F691" s="109"/>
    </row>
    <row r="692">
      <c r="C692" s="108"/>
      <c r="D692" s="109"/>
      <c r="E692" s="109"/>
      <c r="F692" s="109"/>
    </row>
    <row r="693">
      <c r="C693" s="108"/>
      <c r="D693" s="109"/>
      <c r="E693" s="109"/>
      <c r="F693" s="109"/>
    </row>
    <row r="694">
      <c r="C694" s="108"/>
      <c r="D694" s="109"/>
      <c r="E694" s="109"/>
      <c r="F694" s="109"/>
    </row>
    <row r="695">
      <c r="C695" s="108"/>
      <c r="D695" s="109"/>
      <c r="E695" s="109"/>
      <c r="F695" s="109"/>
    </row>
    <row r="696">
      <c r="C696" s="108"/>
      <c r="D696" s="109"/>
      <c r="E696" s="109"/>
      <c r="F696" s="109"/>
    </row>
    <row r="697">
      <c r="C697" s="108"/>
      <c r="D697" s="109"/>
      <c r="E697" s="109"/>
      <c r="F697" s="109"/>
    </row>
    <row r="698">
      <c r="C698" s="108"/>
      <c r="D698" s="109"/>
      <c r="E698" s="109"/>
      <c r="F698" s="109"/>
    </row>
    <row r="699">
      <c r="C699" s="108"/>
      <c r="D699" s="109"/>
      <c r="E699" s="109"/>
      <c r="F699" s="109"/>
    </row>
    <row r="700">
      <c r="C700" s="108"/>
      <c r="D700" s="109"/>
      <c r="E700" s="109"/>
      <c r="F700" s="109"/>
    </row>
    <row r="701">
      <c r="C701" s="108"/>
      <c r="D701" s="109"/>
      <c r="E701" s="109"/>
      <c r="F701" s="109"/>
    </row>
    <row r="702">
      <c r="C702" s="108"/>
      <c r="D702" s="109"/>
      <c r="E702" s="109"/>
      <c r="F702" s="109"/>
    </row>
    <row r="703">
      <c r="C703" s="108"/>
      <c r="D703" s="109"/>
      <c r="E703" s="109"/>
      <c r="F703" s="109"/>
    </row>
    <row r="704">
      <c r="C704" s="108"/>
      <c r="D704" s="109"/>
      <c r="E704" s="109"/>
      <c r="F704" s="109"/>
    </row>
    <row r="705">
      <c r="C705" s="108"/>
      <c r="D705" s="109"/>
      <c r="E705" s="109"/>
      <c r="F705" s="109"/>
    </row>
    <row r="706">
      <c r="C706" s="108"/>
      <c r="D706" s="109"/>
      <c r="E706" s="109"/>
      <c r="F706" s="109"/>
    </row>
    <row r="707">
      <c r="C707" s="108"/>
      <c r="D707" s="109"/>
      <c r="E707" s="109"/>
      <c r="F707" s="109"/>
    </row>
    <row r="708">
      <c r="C708" s="108"/>
      <c r="D708" s="109"/>
      <c r="E708" s="109"/>
      <c r="F708" s="109"/>
    </row>
    <row r="709">
      <c r="C709" s="108"/>
      <c r="D709" s="109"/>
      <c r="E709" s="109"/>
      <c r="F709" s="109"/>
    </row>
    <row r="710">
      <c r="C710" s="108"/>
      <c r="D710" s="109"/>
      <c r="E710" s="109"/>
      <c r="F710" s="109"/>
    </row>
    <row r="711">
      <c r="C711" s="108"/>
      <c r="D711" s="109"/>
      <c r="E711" s="109"/>
      <c r="F711" s="109"/>
    </row>
    <row r="712">
      <c r="C712" s="108"/>
      <c r="D712" s="109"/>
      <c r="E712" s="109"/>
      <c r="F712" s="109"/>
    </row>
    <row r="713">
      <c r="C713" s="108"/>
      <c r="D713" s="109"/>
      <c r="E713" s="109"/>
      <c r="F713" s="109"/>
    </row>
    <row r="714">
      <c r="C714" s="108"/>
      <c r="D714" s="109"/>
      <c r="E714" s="109"/>
      <c r="F714" s="109"/>
    </row>
    <row r="715">
      <c r="C715" s="108"/>
      <c r="D715" s="109"/>
      <c r="E715" s="109"/>
      <c r="F715" s="109"/>
    </row>
    <row r="716">
      <c r="C716" s="108"/>
      <c r="D716" s="109"/>
      <c r="E716" s="109"/>
      <c r="F716" s="109"/>
    </row>
    <row r="717">
      <c r="C717" s="108"/>
      <c r="D717" s="109"/>
      <c r="E717" s="109"/>
      <c r="F717" s="109"/>
    </row>
    <row r="718">
      <c r="C718" s="108"/>
      <c r="D718" s="109"/>
      <c r="E718" s="109"/>
      <c r="F718" s="109"/>
    </row>
    <row r="719">
      <c r="C719" s="108"/>
      <c r="D719" s="109"/>
      <c r="E719" s="109"/>
      <c r="F719" s="109"/>
    </row>
    <row r="720">
      <c r="C720" s="108"/>
      <c r="D720" s="109"/>
      <c r="E720" s="109"/>
      <c r="F720" s="109"/>
    </row>
    <row r="721">
      <c r="C721" s="108"/>
      <c r="D721" s="109"/>
      <c r="E721" s="109"/>
      <c r="F721" s="109"/>
    </row>
    <row r="722">
      <c r="C722" s="108"/>
      <c r="D722" s="109"/>
      <c r="E722" s="109"/>
      <c r="F722" s="109"/>
    </row>
    <row r="723">
      <c r="C723" s="108"/>
      <c r="D723" s="109"/>
      <c r="E723" s="109"/>
      <c r="F723" s="109"/>
    </row>
    <row r="724">
      <c r="C724" s="108"/>
      <c r="D724" s="109"/>
      <c r="E724" s="109"/>
      <c r="F724" s="109"/>
    </row>
    <row r="725">
      <c r="C725" s="108"/>
      <c r="D725" s="109"/>
      <c r="E725" s="109"/>
      <c r="F725" s="109"/>
    </row>
    <row r="726">
      <c r="C726" s="108"/>
      <c r="D726" s="109"/>
      <c r="E726" s="109"/>
      <c r="F726" s="109"/>
    </row>
    <row r="727">
      <c r="C727" s="108"/>
      <c r="D727" s="109"/>
      <c r="E727" s="109"/>
      <c r="F727" s="109"/>
    </row>
    <row r="728">
      <c r="C728" s="108"/>
      <c r="D728" s="109"/>
      <c r="E728" s="109"/>
      <c r="F728" s="109"/>
    </row>
    <row r="729">
      <c r="C729" s="108"/>
      <c r="D729" s="109"/>
      <c r="E729" s="109"/>
      <c r="F729" s="109"/>
    </row>
    <row r="730">
      <c r="C730" s="108"/>
      <c r="D730" s="109"/>
      <c r="E730" s="109"/>
      <c r="F730" s="109"/>
    </row>
    <row r="731">
      <c r="C731" s="108"/>
      <c r="D731" s="109"/>
      <c r="E731" s="109"/>
      <c r="F731" s="109"/>
    </row>
    <row r="732">
      <c r="C732" s="108"/>
      <c r="D732" s="109"/>
      <c r="E732" s="109"/>
      <c r="F732" s="109"/>
    </row>
    <row r="733">
      <c r="C733" s="108"/>
      <c r="D733" s="109"/>
      <c r="E733" s="109"/>
      <c r="F733" s="109"/>
    </row>
    <row r="734">
      <c r="C734" s="108"/>
      <c r="D734" s="109"/>
      <c r="E734" s="109"/>
      <c r="F734" s="109"/>
    </row>
    <row r="735">
      <c r="C735" s="108"/>
      <c r="D735" s="109"/>
      <c r="E735" s="109"/>
      <c r="F735" s="109"/>
    </row>
    <row r="736">
      <c r="C736" s="108"/>
      <c r="D736" s="109"/>
      <c r="E736" s="109"/>
      <c r="F736" s="109"/>
    </row>
    <row r="737">
      <c r="C737" s="108"/>
      <c r="D737" s="109"/>
      <c r="E737" s="109"/>
      <c r="F737" s="109"/>
    </row>
    <row r="738">
      <c r="C738" s="108"/>
      <c r="D738" s="109"/>
      <c r="E738" s="109"/>
      <c r="F738" s="109"/>
    </row>
    <row r="739">
      <c r="C739" s="108"/>
      <c r="D739" s="109"/>
      <c r="E739" s="109"/>
      <c r="F739" s="109"/>
    </row>
    <row r="740">
      <c r="C740" s="108"/>
      <c r="D740" s="109"/>
      <c r="E740" s="109"/>
      <c r="F740" s="109"/>
    </row>
    <row r="741">
      <c r="C741" s="108"/>
      <c r="D741" s="109"/>
      <c r="E741" s="109"/>
      <c r="F741" s="109"/>
    </row>
    <row r="742">
      <c r="C742" s="108"/>
      <c r="D742" s="109"/>
      <c r="E742" s="109"/>
      <c r="F742" s="109"/>
    </row>
    <row r="743">
      <c r="C743" s="108"/>
      <c r="D743" s="109"/>
      <c r="E743" s="109"/>
      <c r="F743" s="109"/>
    </row>
    <row r="744">
      <c r="C744" s="108"/>
      <c r="D744" s="109"/>
      <c r="E744" s="109"/>
      <c r="F744" s="109"/>
    </row>
    <row r="745">
      <c r="C745" s="108"/>
      <c r="D745" s="109"/>
      <c r="E745" s="109"/>
      <c r="F745" s="109"/>
    </row>
    <row r="746">
      <c r="C746" s="108"/>
      <c r="D746" s="109"/>
      <c r="E746" s="109"/>
      <c r="F746" s="109"/>
    </row>
    <row r="747">
      <c r="C747" s="108"/>
      <c r="D747" s="109"/>
      <c r="E747" s="109"/>
      <c r="F747" s="109"/>
    </row>
    <row r="748">
      <c r="C748" s="108"/>
      <c r="D748" s="109"/>
      <c r="E748" s="109"/>
      <c r="F748" s="109"/>
    </row>
    <row r="749">
      <c r="C749" s="108"/>
      <c r="D749" s="109"/>
      <c r="E749" s="109"/>
      <c r="F749" s="109"/>
    </row>
    <row r="750">
      <c r="C750" s="108"/>
      <c r="D750" s="109"/>
      <c r="E750" s="109"/>
      <c r="F750" s="109"/>
    </row>
    <row r="751">
      <c r="C751" s="108"/>
      <c r="D751" s="109"/>
      <c r="E751" s="109"/>
      <c r="F751" s="109"/>
    </row>
    <row r="752">
      <c r="C752" s="108"/>
      <c r="D752" s="109"/>
      <c r="E752" s="109"/>
      <c r="F752" s="109"/>
    </row>
    <row r="753">
      <c r="C753" s="108"/>
      <c r="D753" s="109"/>
      <c r="E753" s="109"/>
      <c r="F753" s="109"/>
    </row>
    <row r="754">
      <c r="C754" s="108"/>
      <c r="D754" s="109"/>
      <c r="E754" s="109"/>
      <c r="F754" s="109"/>
    </row>
    <row r="755">
      <c r="C755" s="108"/>
      <c r="D755" s="109"/>
      <c r="E755" s="109"/>
      <c r="F755" s="109"/>
    </row>
    <row r="756">
      <c r="C756" s="108"/>
      <c r="D756" s="109"/>
      <c r="E756" s="109"/>
      <c r="F756" s="109"/>
    </row>
    <row r="757">
      <c r="C757" s="108"/>
      <c r="D757" s="109"/>
      <c r="E757" s="109"/>
      <c r="F757" s="109"/>
    </row>
    <row r="758">
      <c r="C758" s="108"/>
      <c r="D758" s="109"/>
      <c r="E758" s="109"/>
      <c r="F758" s="109"/>
    </row>
    <row r="759">
      <c r="C759" s="108"/>
      <c r="D759" s="109"/>
      <c r="E759" s="109"/>
      <c r="F759" s="109"/>
    </row>
    <row r="760">
      <c r="C760" s="108"/>
      <c r="D760" s="109"/>
      <c r="E760" s="109"/>
      <c r="F760" s="109"/>
    </row>
    <row r="761">
      <c r="C761" s="108"/>
      <c r="D761" s="109"/>
      <c r="E761" s="109"/>
      <c r="F761" s="109"/>
    </row>
    <row r="762">
      <c r="C762" s="108"/>
      <c r="D762" s="109"/>
      <c r="E762" s="109"/>
      <c r="F762" s="109"/>
    </row>
    <row r="763">
      <c r="C763" s="108"/>
      <c r="D763" s="109"/>
      <c r="E763" s="109"/>
      <c r="F763" s="109"/>
    </row>
    <row r="764">
      <c r="C764" s="108"/>
      <c r="D764" s="109"/>
      <c r="E764" s="109"/>
      <c r="F764" s="109"/>
    </row>
    <row r="765">
      <c r="C765" s="108"/>
      <c r="D765" s="109"/>
      <c r="E765" s="109"/>
      <c r="F765" s="109"/>
    </row>
    <row r="766">
      <c r="C766" s="108"/>
      <c r="D766" s="109"/>
      <c r="E766" s="109"/>
      <c r="F766" s="109"/>
    </row>
    <row r="767">
      <c r="C767" s="108"/>
      <c r="D767" s="109"/>
      <c r="E767" s="109"/>
      <c r="F767" s="109"/>
    </row>
    <row r="768">
      <c r="C768" s="108"/>
      <c r="D768" s="109"/>
      <c r="E768" s="109"/>
      <c r="F768" s="109"/>
    </row>
    <row r="769">
      <c r="C769" s="108"/>
      <c r="D769" s="109"/>
      <c r="E769" s="109"/>
      <c r="F769" s="109"/>
    </row>
    <row r="770">
      <c r="C770" s="108"/>
      <c r="D770" s="109"/>
      <c r="E770" s="109"/>
      <c r="F770" s="109"/>
    </row>
    <row r="771">
      <c r="C771" s="108"/>
      <c r="D771" s="109"/>
      <c r="E771" s="109"/>
      <c r="F771" s="109"/>
    </row>
    <row r="772">
      <c r="C772" s="108"/>
      <c r="D772" s="109"/>
      <c r="E772" s="109"/>
      <c r="F772" s="109"/>
    </row>
    <row r="773">
      <c r="C773" s="108"/>
      <c r="D773" s="109"/>
      <c r="E773" s="109"/>
      <c r="F773" s="109"/>
    </row>
    <row r="774">
      <c r="C774" s="108"/>
      <c r="D774" s="109"/>
      <c r="E774" s="109"/>
      <c r="F774" s="109"/>
    </row>
    <row r="775">
      <c r="C775" s="108"/>
      <c r="D775" s="109"/>
      <c r="E775" s="109"/>
      <c r="F775" s="109"/>
    </row>
    <row r="776">
      <c r="C776" s="108"/>
      <c r="D776" s="109"/>
      <c r="E776" s="109"/>
      <c r="F776" s="109"/>
    </row>
    <row r="777">
      <c r="C777" s="108"/>
      <c r="D777" s="109"/>
      <c r="E777" s="109"/>
      <c r="F777" s="109"/>
    </row>
    <row r="778">
      <c r="C778" s="108"/>
      <c r="D778" s="109"/>
      <c r="E778" s="109"/>
      <c r="F778" s="109"/>
    </row>
    <row r="779">
      <c r="C779" s="108"/>
      <c r="D779" s="109"/>
      <c r="E779" s="109"/>
      <c r="F779" s="109"/>
    </row>
    <row r="780">
      <c r="C780" s="108"/>
      <c r="D780" s="109"/>
      <c r="E780" s="109"/>
      <c r="F780" s="109"/>
    </row>
    <row r="781">
      <c r="C781" s="108"/>
      <c r="D781" s="109"/>
      <c r="E781" s="109"/>
      <c r="F781" s="109"/>
    </row>
    <row r="782">
      <c r="C782" s="108"/>
      <c r="D782" s="109"/>
      <c r="E782" s="109"/>
      <c r="F782" s="109"/>
    </row>
    <row r="783">
      <c r="C783" s="108"/>
      <c r="D783" s="109"/>
      <c r="E783" s="109"/>
      <c r="F783" s="109"/>
    </row>
    <row r="784">
      <c r="C784" s="108"/>
      <c r="D784" s="109"/>
      <c r="E784" s="109"/>
      <c r="F784" s="109"/>
    </row>
    <row r="785">
      <c r="C785" s="108"/>
      <c r="D785" s="109"/>
      <c r="E785" s="109"/>
      <c r="F785" s="109"/>
    </row>
    <row r="786">
      <c r="C786" s="108"/>
      <c r="D786" s="109"/>
      <c r="E786" s="109"/>
      <c r="F786" s="109"/>
    </row>
    <row r="787">
      <c r="C787" s="108"/>
      <c r="D787" s="109"/>
      <c r="E787" s="109"/>
      <c r="F787" s="109"/>
    </row>
    <row r="788">
      <c r="C788" s="108"/>
      <c r="D788" s="109"/>
      <c r="E788" s="109"/>
      <c r="F788" s="109"/>
    </row>
    <row r="789">
      <c r="C789" s="108"/>
      <c r="D789" s="109"/>
      <c r="E789" s="109"/>
      <c r="F789" s="109"/>
    </row>
    <row r="790">
      <c r="C790" s="108"/>
      <c r="D790" s="109"/>
      <c r="E790" s="109"/>
      <c r="F790" s="109"/>
    </row>
    <row r="791">
      <c r="C791" s="108"/>
      <c r="D791" s="109"/>
      <c r="E791" s="109"/>
      <c r="F791" s="109"/>
    </row>
    <row r="792">
      <c r="C792" s="108"/>
      <c r="D792" s="109"/>
      <c r="E792" s="109"/>
      <c r="F792" s="109"/>
    </row>
    <row r="793">
      <c r="C793" s="108"/>
      <c r="D793" s="109"/>
      <c r="E793" s="109"/>
      <c r="F793" s="109"/>
    </row>
    <row r="794">
      <c r="C794" s="108"/>
      <c r="D794" s="109"/>
      <c r="E794" s="109"/>
      <c r="F794" s="109"/>
    </row>
    <row r="795">
      <c r="C795" s="108"/>
      <c r="D795" s="109"/>
      <c r="E795" s="109"/>
      <c r="F795" s="109"/>
    </row>
    <row r="796">
      <c r="C796" s="108"/>
      <c r="D796" s="109"/>
      <c r="E796" s="109"/>
      <c r="F796" s="109"/>
    </row>
    <row r="797">
      <c r="C797" s="108"/>
      <c r="D797" s="109"/>
      <c r="E797" s="109"/>
      <c r="F797" s="109"/>
    </row>
    <row r="798">
      <c r="C798" s="108"/>
      <c r="D798" s="109"/>
      <c r="E798" s="109"/>
      <c r="F798" s="109"/>
    </row>
    <row r="799">
      <c r="C799" s="108"/>
      <c r="D799" s="109"/>
      <c r="E799" s="109"/>
      <c r="F799" s="109"/>
    </row>
    <row r="800">
      <c r="C800" s="108"/>
      <c r="D800" s="109"/>
      <c r="E800" s="109"/>
      <c r="F800" s="109"/>
    </row>
    <row r="801">
      <c r="C801" s="108"/>
      <c r="D801" s="109"/>
      <c r="E801" s="109"/>
      <c r="F801" s="109"/>
    </row>
    <row r="802">
      <c r="C802" s="108"/>
      <c r="D802" s="109"/>
      <c r="E802" s="109"/>
      <c r="F802" s="109"/>
    </row>
    <row r="803">
      <c r="C803" s="108"/>
      <c r="D803" s="109"/>
      <c r="E803" s="109"/>
      <c r="F803" s="109"/>
    </row>
    <row r="804">
      <c r="C804" s="108"/>
      <c r="D804" s="109"/>
      <c r="E804" s="109"/>
      <c r="F804" s="109"/>
    </row>
    <row r="805">
      <c r="C805" s="108"/>
      <c r="D805" s="109"/>
      <c r="E805" s="109"/>
      <c r="F805" s="109"/>
    </row>
    <row r="806">
      <c r="C806" s="108"/>
      <c r="D806" s="109"/>
      <c r="E806" s="109"/>
      <c r="F806" s="109"/>
    </row>
    <row r="807">
      <c r="C807" s="108"/>
      <c r="D807" s="109"/>
      <c r="E807" s="109"/>
      <c r="F807" s="109"/>
    </row>
    <row r="808">
      <c r="C808" s="108"/>
      <c r="D808" s="109"/>
      <c r="E808" s="109"/>
      <c r="F808" s="109"/>
    </row>
    <row r="809">
      <c r="C809" s="108"/>
      <c r="D809" s="109"/>
      <c r="E809" s="109"/>
      <c r="F809" s="109"/>
    </row>
    <row r="810">
      <c r="C810" s="108"/>
      <c r="D810" s="109"/>
      <c r="E810" s="109"/>
      <c r="F810" s="109"/>
    </row>
    <row r="811">
      <c r="C811" s="108"/>
      <c r="D811" s="109"/>
      <c r="E811" s="109"/>
      <c r="F811" s="109"/>
    </row>
    <row r="812">
      <c r="C812" s="108"/>
      <c r="D812" s="109"/>
      <c r="E812" s="109"/>
      <c r="F812" s="109"/>
    </row>
    <row r="813">
      <c r="C813" s="108"/>
      <c r="D813" s="109"/>
      <c r="E813" s="109"/>
      <c r="F813" s="109"/>
    </row>
    <row r="814">
      <c r="C814" s="108"/>
      <c r="D814" s="109"/>
      <c r="E814" s="109"/>
      <c r="F814" s="109"/>
    </row>
    <row r="815">
      <c r="C815" s="108"/>
      <c r="D815" s="109"/>
      <c r="E815" s="109"/>
      <c r="F815" s="109"/>
    </row>
    <row r="816">
      <c r="C816" s="108"/>
      <c r="D816" s="109"/>
      <c r="E816" s="109"/>
      <c r="F816" s="109"/>
    </row>
    <row r="817">
      <c r="C817" s="108"/>
      <c r="D817" s="109"/>
      <c r="E817" s="109"/>
      <c r="F817" s="109"/>
    </row>
    <row r="818">
      <c r="C818" s="108"/>
      <c r="D818" s="109"/>
      <c r="E818" s="109"/>
      <c r="F818" s="109"/>
    </row>
    <row r="819">
      <c r="C819" s="108"/>
      <c r="D819" s="109"/>
      <c r="E819" s="109"/>
      <c r="F819" s="109"/>
    </row>
    <row r="820">
      <c r="C820" s="108"/>
      <c r="D820" s="109"/>
      <c r="E820" s="109"/>
      <c r="F820" s="109"/>
    </row>
    <row r="821">
      <c r="C821" s="108"/>
      <c r="D821" s="109"/>
      <c r="E821" s="109"/>
      <c r="F821" s="109"/>
    </row>
    <row r="822">
      <c r="C822" s="108"/>
      <c r="D822" s="109"/>
      <c r="E822" s="109"/>
      <c r="F822" s="109"/>
    </row>
    <row r="823">
      <c r="C823" s="108"/>
      <c r="D823" s="109"/>
      <c r="E823" s="109"/>
      <c r="F823" s="109"/>
    </row>
    <row r="824">
      <c r="C824" s="108"/>
      <c r="D824" s="109"/>
      <c r="E824" s="109"/>
      <c r="F824" s="109"/>
    </row>
    <row r="825">
      <c r="C825" s="108"/>
      <c r="D825" s="109"/>
      <c r="E825" s="109"/>
      <c r="F825" s="109"/>
    </row>
    <row r="826">
      <c r="C826" s="108"/>
      <c r="D826" s="109"/>
      <c r="E826" s="109"/>
      <c r="F826" s="109"/>
    </row>
    <row r="827">
      <c r="C827" s="108"/>
      <c r="D827" s="109"/>
      <c r="E827" s="109"/>
      <c r="F827" s="109"/>
    </row>
    <row r="828">
      <c r="C828" s="108"/>
      <c r="D828" s="109"/>
      <c r="E828" s="109"/>
      <c r="F828" s="109"/>
    </row>
    <row r="829">
      <c r="C829" s="108"/>
      <c r="D829" s="109"/>
      <c r="E829" s="109"/>
      <c r="F829" s="109"/>
    </row>
    <row r="830">
      <c r="C830" s="108"/>
      <c r="D830" s="109"/>
      <c r="E830" s="109"/>
      <c r="F830" s="109"/>
    </row>
    <row r="831">
      <c r="C831" s="108"/>
      <c r="D831" s="109"/>
      <c r="E831" s="109"/>
      <c r="F831" s="109"/>
    </row>
    <row r="832">
      <c r="C832" s="108"/>
      <c r="D832" s="109"/>
      <c r="E832" s="109"/>
      <c r="F832" s="109"/>
    </row>
    <row r="833">
      <c r="C833" s="108"/>
      <c r="D833" s="109"/>
      <c r="E833" s="109"/>
      <c r="F833" s="109"/>
    </row>
    <row r="834">
      <c r="C834" s="108"/>
      <c r="D834" s="109"/>
      <c r="E834" s="109"/>
      <c r="F834" s="109"/>
    </row>
    <row r="835">
      <c r="C835" s="108"/>
      <c r="D835" s="109"/>
      <c r="E835" s="109"/>
      <c r="F835" s="109"/>
    </row>
    <row r="836">
      <c r="C836" s="108"/>
      <c r="D836" s="109"/>
      <c r="E836" s="109"/>
      <c r="F836" s="109"/>
    </row>
    <row r="837">
      <c r="C837" s="108"/>
      <c r="D837" s="109"/>
      <c r="E837" s="109"/>
      <c r="F837" s="109"/>
    </row>
    <row r="838">
      <c r="C838" s="108"/>
      <c r="D838" s="109"/>
      <c r="E838" s="109"/>
      <c r="F838" s="109"/>
    </row>
    <row r="839">
      <c r="C839" s="108"/>
      <c r="D839" s="109"/>
      <c r="E839" s="109"/>
      <c r="F839" s="109"/>
    </row>
    <row r="840">
      <c r="C840" s="108"/>
      <c r="D840" s="109"/>
      <c r="E840" s="109"/>
      <c r="F840" s="109"/>
    </row>
    <row r="841">
      <c r="C841" s="108"/>
      <c r="D841" s="109"/>
      <c r="E841" s="109"/>
      <c r="F841" s="109"/>
    </row>
    <row r="842">
      <c r="C842" s="108"/>
      <c r="D842" s="109"/>
      <c r="E842" s="109"/>
      <c r="F842" s="109"/>
    </row>
    <row r="843">
      <c r="C843" s="108"/>
      <c r="D843" s="109"/>
      <c r="E843" s="109"/>
      <c r="F843" s="109"/>
    </row>
    <row r="844">
      <c r="C844" s="108"/>
      <c r="D844" s="109"/>
      <c r="E844" s="109"/>
      <c r="F844" s="109"/>
    </row>
    <row r="845">
      <c r="C845" s="108"/>
      <c r="D845" s="109"/>
      <c r="E845" s="109"/>
      <c r="F845" s="109"/>
    </row>
    <row r="846">
      <c r="C846" s="108"/>
      <c r="D846" s="109"/>
      <c r="E846" s="109"/>
      <c r="F846" s="109"/>
    </row>
    <row r="847">
      <c r="C847" s="108"/>
      <c r="D847" s="109"/>
      <c r="E847" s="109"/>
      <c r="F847" s="109"/>
    </row>
    <row r="848">
      <c r="C848" s="108"/>
      <c r="D848" s="109"/>
      <c r="E848" s="109"/>
      <c r="F848" s="109"/>
    </row>
    <row r="849">
      <c r="C849" s="108"/>
      <c r="D849" s="109"/>
      <c r="E849" s="109"/>
      <c r="F849" s="109"/>
    </row>
    <row r="850">
      <c r="C850" s="108"/>
      <c r="D850" s="109"/>
      <c r="E850" s="109"/>
      <c r="F850" s="109"/>
    </row>
    <row r="851">
      <c r="C851" s="108"/>
      <c r="D851" s="109"/>
      <c r="E851" s="109"/>
      <c r="F851" s="109"/>
    </row>
    <row r="852">
      <c r="C852" s="108"/>
      <c r="D852" s="109"/>
      <c r="E852" s="109"/>
      <c r="F852" s="109"/>
    </row>
    <row r="853">
      <c r="C853" s="108"/>
      <c r="D853" s="109"/>
      <c r="E853" s="109"/>
      <c r="F853" s="109"/>
    </row>
    <row r="854">
      <c r="C854" s="108"/>
      <c r="D854" s="109"/>
      <c r="E854" s="109"/>
      <c r="F854" s="109"/>
    </row>
    <row r="855">
      <c r="C855" s="108"/>
      <c r="D855" s="109"/>
      <c r="E855" s="109"/>
      <c r="F855" s="109"/>
    </row>
    <row r="856">
      <c r="C856" s="108"/>
      <c r="D856" s="109"/>
      <c r="E856" s="109"/>
      <c r="F856" s="109"/>
    </row>
    <row r="857">
      <c r="C857" s="108"/>
      <c r="D857" s="109"/>
      <c r="E857" s="109"/>
      <c r="F857" s="109"/>
    </row>
    <row r="858">
      <c r="C858" s="108"/>
      <c r="D858" s="109"/>
      <c r="E858" s="109"/>
      <c r="F858" s="109"/>
    </row>
    <row r="859">
      <c r="C859" s="108"/>
      <c r="D859" s="109"/>
      <c r="E859" s="109"/>
      <c r="F859" s="109"/>
    </row>
    <row r="860">
      <c r="C860" s="108"/>
      <c r="D860" s="109"/>
      <c r="E860" s="109"/>
      <c r="F860" s="109"/>
    </row>
    <row r="861">
      <c r="C861" s="108"/>
      <c r="D861" s="109"/>
      <c r="E861" s="109"/>
      <c r="F861" s="109"/>
    </row>
    <row r="862">
      <c r="C862" s="108"/>
      <c r="D862" s="109"/>
      <c r="E862" s="109"/>
      <c r="F862" s="109"/>
    </row>
    <row r="863">
      <c r="C863" s="108"/>
      <c r="D863" s="109"/>
      <c r="E863" s="109"/>
      <c r="F863" s="109"/>
    </row>
    <row r="864">
      <c r="C864" s="108"/>
      <c r="D864" s="109"/>
      <c r="E864" s="109"/>
      <c r="F864" s="109"/>
    </row>
    <row r="865">
      <c r="C865" s="108"/>
      <c r="D865" s="109"/>
      <c r="E865" s="109"/>
      <c r="F865" s="109"/>
    </row>
    <row r="866">
      <c r="C866" s="108"/>
      <c r="D866" s="109"/>
      <c r="E866" s="109"/>
      <c r="F866" s="109"/>
    </row>
    <row r="867">
      <c r="C867" s="108"/>
      <c r="D867" s="109"/>
      <c r="E867" s="109"/>
      <c r="F867" s="109"/>
    </row>
    <row r="868">
      <c r="C868" s="108"/>
      <c r="D868" s="109"/>
      <c r="E868" s="109"/>
      <c r="F868" s="109"/>
    </row>
    <row r="869">
      <c r="C869" s="108"/>
      <c r="D869" s="109"/>
      <c r="E869" s="109"/>
      <c r="F869" s="109"/>
    </row>
    <row r="870">
      <c r="C870" s="108"/>
      <c r="D870" s="109"/>
      <c r="E870" s="109"/>
      <c r="F870" s="109"/>
    </row>
    <row r="871">
      <c r="C871" s="108"/>
      <c r="D871" s="109"/>
      <c r="E871" s="109"/>
      <c r="F871" s="109"/>
    </row>
    <row r="872">
      <c r="C872" s="108"/>
      <c r="D872" s="109"/>
      <c r="E872" s="109"/>
      <c r="F872" s="109"/>
    </row>
    <row r="873">
      <c r="C873" s="108"/>
      <c r="D873" s="109"/>
      <c r="E873" s="109"/>
      <c r="F873" s="109"/>
    </row>
    <row r="874">
      <c r="C874" s="108"/>
      <c r="D874" s="109"/>
      <c r="E874" s="109"/>
      <c r="F874" s="109"/>
    </row>
    <row r="875">
      <c r="C875" s="108"/>
      <c r="D875" s="109"/>
      <c r="E875" s="109"/>
      <c r="F875" s="109"/>
    </row>
    <row r="876">
      <c r="C876" s="108"/>
      <c r="D876" s="109"/>
      <c r="E876" s="109"/>
      <c r="F876" s="109"/>
    </row>
    <row r="877">
      <c r="C877" s="108"/>
      <c r="D877" s="109"/>
      <c r="E877" s="109"/>
      <c r="F877" s="109"/>
    </row>
    <row r="878">
      <c r="C878" s="108"/>
      <c r="D878" s="109"/>
      <c r="E878" s="109"/>
      <c r="F878" s="109"/>
    </row>
    <row r="879">
      <c r="C879" s="108"/>
      <c r="D879" s="109"/>
      <c r="E879" s="109"/>
      <c r="F879" s="109"/>
    </row>
    <row r="880">
      <c r="C880" s="108"/>
      <c r="D880" s="109"/>
      <c r="E880" s="109"/>
      <c r="F880" s="109"/>
    </row>
    <row r="881">
      <c r="C881" s="108"/>
      <c r="D881" s="109"/>
      <c r="E881" s="109"/>
      <c r="F881" s="109"/>
    </row>
    <row r="882">
      <c r="C882" s="108"/>
      <c r="D882" s="109"/>
      <c r="E882" s="109"/>
      <c r="F882" s="109"/>
    </row>
    <row r="883">
      <c r="C883" s="108"/>
      <c r="D883" s="109"/>
      <c r="E883" s="109"/>
      <c r="F883" s="109"/>
    </row>
    <row r="884">
      <c r="C884" s="108"/>
      <c r="D884" s="109"/>
      <c r="E884" s="109"/>
      <c r="F884" s="109"/>
    </row>
    <row r="885">
      <c r="C885" s="108"/>
      <c r="D885" s="109"/>
      <c r="E885" s="109"/>
      <c r="F885" s="109"/>
    </row>
    <row r="886">
      <c r="C886" s="108"/>
      <c r="D886" s="109"/>
      <c r="E886" s="109"/>
      <c r="F886" s="109"/>
    </row>
    <row r="887">
      <c r="C887" s="108"/>
      <c r="D887" s="109"/>
      <c r="E887" s="109"/>
      <c r="F887" s="109"/>
    </row>
    <row r="888">
      <c r="C888" s="108"/>
      <c r="D888" s="109"/>
      <c r="E888" s="109"/>
      <c r="F888" s="109"/>
    </row>
    <row r="889">
      <c r="C889" s="108"/>
      <c r="D889" s="109"/>
      <c r="E889" s="109"/>
      <c r="F889" s="109"/>
    </row>
    <row r="890">
      <c r="C890" s="108"/>
      <c r="D890" s="109"/>
      <c r="E890" s="109"/>
      <c r="F890" s="109"/>
    </row>
    <row r="891">
      <c r="C891" s="108"/>
      <c r="D891" s="109"/>
      <c r="E891" s="109"/>
      <c r="F891" s="109"/>
    </row>
    <row r="892">
      <c r="C892" s="108"/>
      <c r="D892" s="109"/>
      <c r="E892" s="109"/>
      <c r="F892" s="109"/>
    </row>
    <row r="893">
      <c r="C893" s="108"/>
      <c r="D893" s="109"/>
      <c r="E893" s="109"/>
      <c r="F893" s="109"/>
    </row>
    <row r="894">
      <c r="C894" s="108"/>
      <c r="D894" s="109"/>
      <c r="E894" s="109"/>
      <c r="F894" s="109"/>
    </row>
    <row r="895">
      <c r="C895" s="108"/>
      <c r="D895" s="109"/>
      <c r="E895" s="109"/>
      <c r="F895" s="109"/>
    </row>
    <row r="896">
      <c r="C896" s="108"/>
      <c r="D896" s="109"/>
      <c r="E896" s="109"/>
      <c r="F896" s="109"/>
    </row>
    <row r="897">
      <c r="C897" s="108"/>
      <c r="D897" s="109"/>
      <c r="E897" s="109"/>
      <c r="F897" s="109"/>
    </row>
    <row r="898">
      <c r="C898" s="108"/>
      <c r="D898" s="109"/>
      <c r="E898" s="109"/>
      <c r="F898" s="109"/>
    </row>
    <row r="899">
      <c r="C899" s="108"/>
      <c r="D899" s="109"/>
      <c r="E899" s="109"/>
      <c r="F899" s="109"/>
    </row>
    <row r="900">
      <c r="C900" s="108"/>
      <c r="D900" s="109"/>
      <c r="E900" s="109"/>
      <c r="F900" s="109"/>
    </row>
    <row r="901">
      <c r="C901" s="108"/>
      <c r="D901" s="109"/>
      <c r="E901" s="109"/>
      <c r="F901" s="109"/>
    </row>
    <row r="902">
      <c r="C902" s="108"/>
      <c r="D902" s="109"/>
      <c r="E902" s="109"/>
      <c r="F902" s="109"/>
    </row>
    <row r="903">
      <c r="C903" s="108"/>
      <c r="D903" s="109"/>
      <c r="E903" s="109"/>
      <c r="F903" s="109"/>
    </row>
    <row r="904">
      <c r="C904" s="108"/>
      <c r="D904" s="109"/>
      <c r="E904" s="109"/>
      <c r="F904" s="109"/>
    </row>
    <row r="905">
      <c r="C905" s="108"/>
      <c r="D905" s="109"/>
      <c r="E905" s="109"/>
      <c r="F905" s="109"/>
    </row>
    <row r="906">
      <c r="C906" s="108"/>
      <c r="D906" s="109"/>
      <c r="E906" s="109"/>
      <c r="F906" s="109"/>
    </row>
    <row r="907">
      <c r="C907" s="108"/>
      <c r="D907" s="109"/>
      <c r="E907" s="109"/>
      <c r="F907" s="109"/>
    </row>
    <row r="908">
      <c r="C908" s="108"/>
      <c r="D908" s="109"/>
      <c r="E908" s="109"/>
      <c r="F908" s="109"/>
    </row>
    <row r="909">
      <c r="C909" s="108"/>
      <c r="D909" s="109"/>
      <c r="E909" s="109"/>
      <c r="F909" s="109"/>
    </row>
    <row r="910">
      <c r="C910" s="108"/>
      <c r="D910" s="109"/>
      <c r="E910" s="109"/>
      <c r="F910" s="109"/>
    </row>
    <row r="911">
      <c r="C911" s="108"/>
      <c r="D911" s="109"/>
      <c r="E911" s="109"/>
      <c r="F911" s="109"/>
    </row>
    <row r="912">
      <c r="C912" s="108"/>
      <c r="D912" s="109"/>
      <c r="E912" s="109"/>
      <c r="F912" s="109"/>
    </row>
    <row r="913">
      <c r="C913" s="108"/>
      <c r="D913" s="109"/>
      <c r="E913" s="109"/>
      <c r="F913" s="109"/>
    </row>
    <row r="914">
      <c r="C914" s="108"/>
      <c r="D914" s="109"/>
      <c r="E914" s="109"/>
      <c r="F914" s="109"/>
    </row>
    <row r="915">
      <c r="C915" s="108"/>
      <c r="D915" s="109"/>
      <c r="E915" s="109"/>
      <c r="F915" s="109"/>
    </row>
    <row r="916">
      <c r="C916" s="108"/>
      <c r="D916" s="109"/>
      <c r="E916" s="109"/>
      <c r="F916" s="109"/>
    </row>
    <row r="917">
      <c r="C917" s="108"/>
      <c r="D917" s="109"/>
      <c r="E917" s="109"/>
      <c r="F917" s="109"/>
    </row>
    <row r="918">
      <c r="C918" s="108"/>
      <c r="D918" s="109"/>
      <c r="E918" s="109"/>
      <c r="F918" s="109"/>
    </row>
    <row r="919">
      <c r="C919" s="108"/>
      <c r="D919" s="109"/>
      <c r="E919" s="109"/>
      <c r="F919" s="109"/>
    </row>
    <row r="920">
      <c r="C920" s="108"/>
      <c r="D920" s="109"/>
      <c r="E920" s="109"/>
      <c r="F920" s="109"/>
    </row>
    <row r="921">
      <c r="C921" s="108"/>
      <c r="D921" s="109"/>
      <c r="E921" s="109"/>
      <c r="F921" s="109"/>
    </row>
    <row r="922">
      <c r="C922" s="108"/>
      <c r="D922" s="109"/>
      <c r="E922" s="109"/>
      <c r="F922" s="109"/>
    </row>
    <row r="923">
      <c r="C923" s="108"/>
      <c r="D923" s="109"/>
      <c r="E923" s="109"/>
      <c r="F923" s="109"/>
    </row>
    <row r="924">
      <c r="C924" s="108"/>
      <c r="D924" s="109"/>
      <c r="E924" s="109"/>
      <c r="F924" s="109"/>
    </row>
    <row r="925">
      <c r="C925" s="108"/>
      <c r="D925" s="109"/>
      <c r="E925" s="109"/>
      <c r="F925" s="109"/>
    </row>
    <row r="926">
      <c r="C926" s="108"/>
      <c r="D926" s="109"/>
      <c r="E926" s="109"/>
      <c r="F926" s="109"/>
    </row>
    <row r="927">
      <c r="C927" s="108"/>
      <c r="D927" s="109"/>
      <c r="E927" s="109"/>
      <c r="F927" s="109"/>
    </row>
    <row r="928">
      <c r="C928" s="108"/>
      <c r="D928" s="109"/>
      <c r="E928" s="109"/>
      <c r="F928" s="109"/>
    </row>
    <row r="929">
      <c r="C929" s="108"/>
      <c r="D929" s="109"/>
      <c r="E929" s="109"/>
      <c r="F929" s="109"/>
    </row>
    <row r="930">
      <c r="C930" s="108"/>
      <c r="D930" s="109"/>
      <c r="E930" s="109"/>
      <c r="F930" s="109"/>
    </row>
    <row r="931">
      <c r="C931" s="108"/>
      <c r="D931" s="109"/>
      <c r="E931" s="109"/>
      <c r="F931" s="109"/>
    </row>
    <row r="932">
      <c r="C932" s="108"/>
      <c r="D932" s="109"/>
      <c r="E932" s="109"/>
      <c r="F932" s="109"/>
    </row>
    <row r="933">
      <c r="C933" s="108"/>
      <c r="D933" s="109"/>
      <c r="E933" s="109"/>
      <c r="F933" s="109"/>
    </row>
    <row r="934">
      <c r="C934" s="108"/>
      <c r="D934" s="109"/>
      <c r="E934" s="109"/>
      <c r="F934" s="109"/>
    </row>
    <row r="935">
      <c r="C935" s="108"/>
      <c r="D935" s="109"/>
      <c r="E935" s="109"/>
      <c r="F935" s="109"/>
    </row>
    <row r="936">
      <c r="C936" s="108"/>
      <c r="D936" s="109"/>
      <c r="E936" s="109"/>
      <c r="F936" s="109"/>
    </row>
    <row r="937">
      <c r="C937" s="108"/>
      <c r="D937" s="109"/>
      <c r="E937" s="109"/>
      <c r="F937" s="109"/>
    </row>
    <row r="938">
      <c r="C938" s="108"/>
      <c r="D938" s="109"/>
      <c r="E938" s="109"/>
      <c r="F938" s="109"/>
    </row>
    <row r="939">
      <c r="C939" s="108"/>
      <c r="D939" s="109"/>
      <c r="E939" s="109"/>
      <c r="F939" s="109"/>
    </row>
    <row r="940">
      <c r="C940" s="108"/>
      <c r="D940" s="109"/>
      <c r="E940" s="109"/>
      <c r="F940" s="109"/>
    </row>
    <row r="941">
      <c r="C941" s="108"/>
      <c r="D941" s="109"/>
      <c r="E941" s="109"/>
      <c r="F941" s="109"/>
    </row>
    <row r="942">
      <c r="C942" s="108"/>
      <c r="D942" s="109"/>
      <c r="E942" s="109"/>
      <c r="F942" s="109"/>
    </row>
    <row r="943">
      <c r="C943" s="108"/>
      <c r="D943" s="109"/>
      <c r="E943" s="109"/>
      <c r="F943" s="109"/>
    </row>
    <row r="944">
      <c r="C944" s="108"/>
      <c r="D944" s="109"/>
      <c r="E944" s="109"/>
      <c r="F944" s="109"/>
    </row>
    <row r="945">
      <c r="C945" s="108"/>
      <c r="D945" s="109"/>
      <c r="E945" s="109"/>
      <c r="F945" s="109"/>
    </row>
    <row r="946">
      <c r="C946" s="108"/>
      <c r="D946" s="109"/>
      <c r="E946" s="109"/>
      <c r="F946" s="109"/>
    </row>
    <row r="947">
      <c r="C947" s="108"/>
      <c r="D947" s="109"/>
      <c r="E947" s="109"/>
      <c r="F947" s="109"/>
    </row>
    <row r="948">
      <c r="C948" s="108"/>
      <c r="D948" s="109"/>
      <c r="E948" s="109"/>
      <c r="F948" s="109"/>
    </row>
    <row r="949">
      <c r="C949" s="108"/>
      <c r="D949" s="109"/>
      <c r="E949" s="109"/>
      <c r="F949" s="109"/>
    </row>
    <row r="950">
      <c r="C950" s="108"/>
      <c r="D950" s="109"/>
      <c r="E950" s="109"/>
      <c r="F950" s="109"/>
    </row>
    <row r="951">
      <c r="C951" s="108"/>
      <c r="D951" s="109"/>
      <c r="E951" s="109"/>
      <c r="F951" s="109"/>
    </row>
    <row r="952">
      <c r="C952" s="108"/>
      <c r="D952" s="109"/>
      <c r="E952" s="109"/>
      <c r="F952" s="109"/>
    </row>
    <row r="953">
      <c r="C953" s="108"/>
      <c r="D953" s="109"/>
      <c r="E953" s="109"/>
      <c r="F953" s="109"/>
    </row>
    <row r="954">
      <c r="C954" s="108"/>
      <c r="D954" s="109"/>
      <c r="E954" s="109"/>
      <c r="F954" s="109"/>
    </row>
    <row r="955">
      <c r="C955" s="108"/>
      <c r="D955" s="109"/>
      <c r="E955" s="109"/>
      <c r="F955" s="109"/>
    </row>
    <row r="956">
      <c r="C956" s="108"/>
      <c r="D956" s="109"/>
      <c r="E956" s="109"/>
      <c r="F956" s="109"/>
    </row>
    <row r="957">
      <c r="C957" s="108"/>
      <c r="D957" s="109"/>
      <c r="E957" s="109"/>
      <c r="F957" s="109"/>
    </row>
    <row r="958">
      <c r="C958" s="108"/>
      <c r="D958" s="109"/>
      <c r="E958" s="109"/>
      <c r="F958" s="109"/>
    </row>
    <row r="959">
      <c r="C959" s="108"/>
      <c r="D959" s="109"/>
      <c r="E959" s="109"/>
      <c r="F959" s="109"/>
    </row>
    <row r="960">
      <c r="C960" s="108"/>
      <c r="D960" s="109"/>
      <c r="E960" s="109"/>
      <c r="F960" s="109"/>
    </row>
    <row r="961">
      <c r="C961" s="108"/>
      <c r="D961" s="109"/>
      <c r="E961" s="109"/>
      <c r="F961" s="109"/>
    </row>
    <row r="962">
      <c r="C962" s="108"/>
      <c r="D962" s="109"/>
      <c r="E962" s="109"/>
      <c r="F962" s="109"/>
    </row>
    <row r="963">
      <c r="C963" s="108"/>
      <c r="D963" s="109"/>
      <c r="E963" s="109"/>
      <c r="F963" s="109"/>
    </row>
    <row r="964">
      <c r="C964" s="108"/>
      <c r="D964" s="109"/>
      <c r="E964" s="109"/>
      <c r="F964" s="109"/>
    </row>
    <row r="965">
      <c r="C965" s="108"/>
      <c r="D965" s="109"/>
      <c r="E965" s="109"/>
      <c r="F965" s="109"/>
    </row>
    <row r="966">
      <c r="C966" s="108"/>
      <c r="D966" s="109"/>
      <c r="E966" s="109"/>
      <c r="F966" s="109"/>
    </row>
    <row r="967">
      <c r="C967" s="108"/>
      <c r="D967" s="109"/>
      <c r="E967" s="109"/>
      <c r="F967" s="109"/>
    </row>
    <row r="968">
      <c r="C968" s="108"/>
      <c r="D968" s="109"/>
      <c r="E968" s="109"/>
      <c r="F968" s="109"/>
    </row>
    <row r="969">
      <c r="C969" s="108"/>
      <c r="D969" s="109"/>
      <c r="E969" s="109"/>
      <c r="F969" s="109"/>
    </row>
    <row r="970">
      <c r="C970" s="108"/>
      <c r="D970" s="109"/>
      <c r="E970" s="109"/>
      <c r="F970" s="109"/>
    </row>
    <row r="971">
      <c r="C971" s="108"/>
      <c r="D971" s="109"/>
      <c r="E971" s="109"/>
      <c r="F971" s="109"/>
    </row>
    <row r="972">
      <c r="C972" s="108"/>
      <c r="D972" s="109"/>
      <c r="E972" s="109"/>
      <c r="F972" s="109"/>
    </row>
    <row r="973">
      <c r="C973" s="108"/>
      <c r="D973" s="109"/>
      <c r="E973" s="109"/>
      <c r="F973" s="109"/>
    </row>
    <row r="974">
      <c r="C974" s="108"/>
      <c r="D974" s="109"/>
      <c r="E974" s="109"/>
      <c r="F974" s="109"/>
    </row>
    <row r="975">
      <c r="C975" s="108"/>
      <c r="D975" s="109"/>
      <c r="E975" s="109"/>
      <c r="F975" s="109"/>
    </row>
    <row r="976">
      <c r="C976" s="108"/>
      <c r="D976" s="109"/>
      <c r="E976" s="109"/>
      <c r="F976" s="109"/>
    </row>
    <row r="977">
      <c r="C977" s="108"/>
      <c r="D977" s="109"/>
      <c r="E977" s="109"/>
      <c r="F977" s="109"/>
    </row>
    <row r="978">
      <c r="C978" s="108"/>
      <c r="D978" s="109"/>
      <c r="E978" s="109"/>
      <c r="F978" s="109"/>
    </row>
    <row r="979">
      <c r="C979" s="108"/>
      <c r="D979" s="109"/>
      <c r="E979" s="109"/>
      <c r="F979" s="109"/>
    </row>
    <row r="980">
      <c r="C980" s="108"/>
      <c r="D980" s="109"/>
      <c r="E980" s="109"/>
      <c r="F980" s="109"/>
    </row>
    <row r="981">
      <c r="C981" s="108"/>
      <c r="D981" s="109"/>
      <c r="E981" s="109"/>
      <c r="F981" s="109"/>
    </row>
    <row r="982">
      <c r="C982" s="108"/>
      <c r="D982" s="109"/>
      <c r="E982" s="109"/>
      <c r="F982" s="109"/>
    </row>
    <row r="983">
      <c r="C983" s="108"/>
      <c r="D983" s="109"/>
      <c r="E983" s="109"/>
      <c r="F983" s="109"/>
    </row>
    <row r="984">
      <c r="C984" s="108"/>
      <c r="D984" s="109"/>
      <c r="E984" s="109"/>
      <c r="F984" s="109"/>
    </row>
    <row r="985">
      <c r="C985" s="108"/>
      <c r="D985" s="109"/>
      <c r="E985" s="109"/>
      <c r="F985" s="109"/>
    </row>
    <row r="986">
      <c r="C986" s="108"/>
      <c r="D986" s="109"/>
      <c r="E986" s="109"/>
      <c r="F986" s="109"/>
    </row>
    <row r="987">
      <c r="C987" s="108"/>
      <c r="D987" s="109"/>
      <c r="E987" s="109"/>
      <c r="F987" s="109"/>
    </row>
    <row r="988">
      <c r="C988" s="108"/>
      <c r="D988" s="109"/>
      <c r="E988" s="109"/>
      <c r="F988" s="109"/>
    </row>
    <row r="989">
      <c r="C989" s="108"/>
      <c r="D989" s="109"/>
      <c r="E989" s="109"/>
      <c r="F989" s="109"/>
    </row>
    <row r="990">
      <c r="C990" s="108"/>
      <c r="D990" s="109"/>
      <c r="E990" s="109"/>
      <c r="F990" s="109"/>
    </row>
    <row r="991">
      <c r="C991" s="108"/>
      <c r="D991" s="109"/>
      <c r="E991" s="109"/>
      <c r="F991" s="109"/>
    </row>
    <row r="992">
      <c r="C992" s="108"/>
      <c r="D992" s="109"/>
      <c r="E992" s="109"/>
      <c r="F992" s="109"/>
    </row>
    <row r="993">
      <c r="C993" s="108"/>
      <c r="D993" s="109"/>
      <c r="E993" s="109"/>
      <c r="F993" s="109"/>
    </row>
    <row r="994">
      <c r="C994" s="108"/>
      <c r="D994" s="109"/>
      <c r="E994" s="109"/>
      <c r="F994" s="109"/>
    </row>
    <row r="995">
      <c r="C995" s="108"/>
      <c r="D995" s="109"/>
      <c r="E995" s="109"/>
      <c r="F995" s="109"/>
    </row>
    <row r="996">
      <c r="C996" s="108"/>
      <c r="D996" s="109"/>
      <c r="E996" s="109"/>
      <c r="F996" s="109"/>
    </row>
    <row r="997">
      <c r="C997" s="108"/>
      <c r="D997" s="109"/>
      <c r="E997" s="109"/>
      <c r="F997" s="109"/>
    </row>
    <row r="998">
      <c r="C998" s="108"/>
      <c r="D998" s="109"/>
      <c r="E998" s="109"/>
      <c r="F998" s="109"/>
    </row>
    <row r="999">
      <c r="C999" s="108"/>
      <c r="D999" s="109"/>
      <c r="E999" s="109"/>
      <c r="F999" s="109"/>
    </row>
    <row r="1000">
      <c r="C1000" s="108"/>
      <c r="D1000" s="109"/>
      <c r="E1000" s="109"/>
      <c r="F1000" s="109"/>
    </row>
    <row r="1001">
      <c r="C1001" s="108"/>
      <c r="D1001" s="109"/>
      <c r="E1001" s="109"/>
      <c r="F1001" s="109"/>
    </row>
    <row r="1002">
      <c r="C1002" s="108"/>
      <c r="D1002" s="109"/>
      <c r="E1002" s="109"/>
      <c r="F1002" s="109"/>
    </row>
    <row r="1003">
      <c r="C1003" s="108"/>
      <c r="D1003" s="109"/>
      <c r="E1003" s="109"/>
      <c r="F1003" s="109"/>
    </row>
    <row r="1004">
      <c r="C1004" s="108"/>
      <c r="D1004" s="109"/>
      <c r="E1004" s="109"/>
      <c r="F1004" s="109"/>
    </row>
    <row r="1005">
      <c r="C1005" s="108"/>
      <c r="D1005" s="109"/>
      <c r="E1005" s="109"/>
      <c r="F1005" s="109"/>
    </row>
    <row r="1006">
      <c r="C1006" s="108"/>
      <c r="D1006" s="109"/>
      <c r="E1006" s="109"/>
      <c r="F1006" s="109"/>
    </row>
    <row r="1007">
      <c r="C1007" s="108"/>
      <c r="D1007" s="109"/>
      <c r="E1007" s="109"/>
      <c r="F1007" s="109"/>
    </row>
    <row r="1008">
      <c r="C1008" s="108"/>
      <c r="D1008" s="109"/>
      <c r="E1008" s="109"/>
      <c r="F1008" s="109"/>
    </row>
    <row r="1009">
      <c r="C1009" s="108"/>
      <c r="D1009" s="109"/>
      <c r="E1009" s="109"/>
      <c r="F1009" s="109"/>
    </row>
    <row r="1010">
      <c r="C1010" s="108"/>
      <c r="D1010" s="109"/>
      <c r="E1010" s="109"/>
      <c r="F1010" s="109"/>
    </row>
    <row r="1011">
      <c r="C1011" s="108"/>
      <c r="D1011" s="109"/>
      <c r="E1011" s="109"/>
      <c r="F1011" s="109"/>
    </row>
    <row r="1012">
      <c r="C1012" s="108"/>
      <c r="D1012" s="109"/>
      <c r="E1012" s="109"/>
      <c r="F1012" s="109"/>
    </row>
    <row r="1013">
      <c r="C1013" s="108"/>
      <c r="D1013" s="109"/>
      <c r="E1013" s="109"/>
      <c r="F1013" s="109"/>
    </row>
    <row r="1014">
      <c r="C1014" s="108"/>
      <c r="D1014" s="109"/>
      <c r="E1014" s="109"/>
      <c r="F1014" s="109"/>
    </row>
    <row r="1015">
      <c r="C1015" s="108"/>
      <c r="D1015" s="109"/>
      <c r="E1015" s="109"/>
      <c r="F1015" s="109"/>
    </row>
    <row r="1016">
      <c r="C1016" s="108"/>
      <c r="D1016" s="109"/>
      <c r="E1016" s="109"/>
      <c r="F1016" s="109"/>
    </row>
    <row r="1017">
      <c r="C1017" s="108"/>
      <c r="D1017" s="109"/>
      <c r="E1017" s="109"/>
      <c r="F1017" s="109"/>
    </row>
  </sheetData>
  <dataValidations>
    <dataValidation type="custom" allowBlank="1" showDropDown="1" sqref="A2:A55 E2:E55">
      <formula1>AND(ISNUMBER(A2),(NOT(OR(NOT(ISERROR(DATEVALUE(A2))), AND(ISNUMBER(A2), LEFT(CELL("format", A2))="D")))))</formula1>
    </dataValidation>
  </dataValidations>
  <hyperlinks>
    <hyperlink r:id="rId1" ref="C2"/>
    <hyperlink r:id="rId2" ref="C3"/>
    <hyperlink r:id="rId3" location="mac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4"/>
    <hyperlink r:id="rId33" ref="B37"/>
    <hyperlink r:id="rId34" ref="C38"/>
    <hyperlink r:id="rId35" ref="C39"/>
    <hyperlink r:id="rId36" ref="C41"/>
    <hyperlink r:id="rId37" ref="C44"/>
    <hyperlink r:id="rId38" ref="C45"/>
    <hyperlink r:id="rId39" ref="C46"/>
    <hyperlink r:id="rId40" ref="C47"/>
    <hyperlink r:id="rId41" ref="C48"/>
    <hyperlink r:id="rId42" ref="B49"/>
    <hyperlink r:id="rId43" ref="C49"/>
    <hyperlink r:id="rId44" ref="C53"/>
    <hyperlink r:id="rId45" ref="C55"/>
  </hyperlinks>
  <drawing r:id="rId46"/>
  <tableParts count="1">
    <tablePart r:id="rId48"/>
  </tableParts>
</worksheet>
</file>